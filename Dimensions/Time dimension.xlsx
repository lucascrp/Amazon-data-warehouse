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"/>
    </mc:Choice>
  </mc:AlternateContent>
  <xr:revisionPtr revIDLastSave="80" documentId="8_{49E222D4-8A26-4A2A-8A17-077AC00D8409}" xr6:coauthVersionLast="47" xr6:coauthVersionMax="47" xr10:uidLastSave="{208D201C-4BC6-4DAD-BB4A-2B1694360BF2}"/>
  <bookViews>
    <workbookView xWindow="-110" yWindow="-110" windowWidth="19420" windowHeight="10300" xr2:uid="{BC71B694-C0F2-49B7-A367-5935017A4F00}"/>
  </bookViews>
  <sheets>
    <sheet name="Time Dimension" sheetId="1" r:id="rId1"/>
  </sheets>
  <definedNames>
    <definedName name="_xlnm._FilterDatabase" localSheetId="0" hidden="1">'Time Dimension'!$A$1:$M$366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E2" i="1"/>
  <c r="E3" i="1"/>
  <c r="E4" i="1"/>
  <c r="G4" i="1" s="1"/>
  <c r="E5" i="1"/>
  <c r="G5" i="1" s="1"/>
  <c r="E6" i="1"/>
  <c r="G6" i="1" s="1"/>
  <c r="E7" i="1"/>
  <c r="G7" i="1" s="1"/>
  <c r="E8" i="1"/>
  <c r="E9" i="1"/>
  <c r="E10" i="1"/>
  <c r="E11" i="1"/>
  <c r="E12" i="1"/>
  <c r="E13" i="1"/>
  <c r="E14" i="1"/>
  <c r="E15" i="1"/>
  <c r="E16" i="1"/>
  <c r="E17" i="1"/>
  <c r="E18" i="1"/>
  <c r="G18" i="1" s="1"/>
  <c r="E19" i="1"/>
  <c r="G19" i="1" s="1"/>
  <c r="E20" i="1"/>
  <c r="G20" i="1" s="1"/>
  <c r="E21" i="1"/>
  <c r="E22" i="1"/>
  <c r="E23" i="1"/>
  <c r="E24" i="1"/>
  <c r="G24" i="1" s="1"/>
  <c r="E25" i="1"/>
  <c r="E26" i="1"/>
  <c r="G26" i="1" s="1"/>
  <c r="E27" i="1"/>
  <c r="E28" i="1"/>
  <c r="E29" i="1"/>
  <c r="G29" i="1" s="1"/>
  <c r="E30" i="1"/>
  <c r="E31" i="1"/>
  <c r="E32" i="1"/>
  <c r="E33" i="1"/>
  <c r="E34" i="1"/>
  <c r="E35" i="1"/>
  <c r="E36" i="1"/>
  <c r="E37" i="1"/>
  <c r="E38" i="1"/>
  <c r="E39" i="1"/>
  <c r="E40" i="1"/>
  <c r="G40" i="1" s="1"/>
  <c r="E41" i="1"/>
  <c r="E42" i="1"/>
  <c r="G42" i="1" s="1"/>
  <c r="E43" i="1"/>
  <c r="G43" i="1" s="1"/>
  <c r="E44" i="1"/>
  <c r="E45" i="1"/>
  <c r="E46" i="1"/>
  <c r="E47" i="1"/>
  <c r="E48" i="1"/>
  <c r="G48" i="1" s="1"/>
  <c r="E49" i="1"/>
  <c r="E50" i="1"/>
  <c r="F50" i="1" s="1"/>
  <c r="E51" i="1"/>
  <c r="E52" i="1"/>
  <c r="E53" i="1"/>
  <c r="E54" i="1"/>
  <c r="F54" i="1" s="1"/>
  <c r="E55" i="1"/>
  <c r="E56" i="1"/>
  <c r="E57" i="1"/>
  <c r="G57" i="1" s="1"/>
  <c r="E58" i="1"/>
  <c r="E59" i="1"/>
  <c r="E60" i="1"/>
  <c r="E61" i="1"/>
  <c r="E62" i="1"/>
  <c r="G62" i="1" s="1"/>
  <c r="E63" i="1"/>
  <c r="E64" i="1"/>
  <c r="G64" i="1" s="1"/>
  <c r="E65" i="1"/>
  <c r="E66" i="1"/>
  <c r="G66" i="1" s="1"/>
  <c r="E67" i="1"/>
  <c r="G67" i="1" s="1"/>
  <c r="E68" i="1"/>
  <c r="E69" i="1"/>
  <c r="E70" i="1"/>
  <c r="E71" i="1"/>
  <c r="E72" i="1"/>
  <c r="E73" i="1"/>
  <c r="E74" i="1"/>
  <c r="E75" i="1"/>
  <c r="E76" i="1"/>
  <c r="G76" i="1" s="1"/>
  <c r="E77" i="1"/>
  <c r="E78" i="1"/>
  <c r="E79" i="1"/>
  <c r="F79" i="1" s="1"/>
  <c r="E80" i="1"/>
  <c r="G80" i="1" s="1"/>
  <c r="E81" i="1"/>
  <c r="E82" i="1"/>
  <c r="E83" i="1"/>
  <c r="E84" i="1"/>
  <c r="E85" i="1"/>
  <c r="E86" i="1"/>
  <c r="E87" i="1"/>
  <c r="E88" i="1"/>
  <c r="E89" i="1"/>
  <c r="E90" i="1"/>
  <c r="G90" i="1" s="1"/>
  <c r="E91" i="1"/>
  <c r="G91" i="1" s="1"/>
  <c r="E92" i="1"/>
  <c r="G92" i="1" s="1"/>
  <c r="E93" i="1"/>
  <c r="E94" i="1"/>
  <c r="E95" i="1"/>
  <c r="E96" i="1"/>
  <c r="E97" i="1"/>
  <c r="E98" i="1"/>
  <c r="G98" i="1" s="1"/>
  <c r="E99" i="1"/>
  <c r="E100" i="1"/>
  <c r="G100" i="1" s="1"/>
  <c r="E101" i="1"/>
  <c r="E102" i="1"/>
  <c r="G102" i="1" s="1"/>
  <c r="E103" i="1"/>
  <c r="G103" i="1" s="1"/>
  <c r="E104" i="1"/>
  <c r="E105" i="1"/>
  <c r="E106" i="1"/>
  <c r="E107" i="1"/>
  <c r="E108" i="1"/>
  <c r="E109" i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E117" i="1"/>
  <c r="E118" i="1"/>
  <c r="E119" i="1"/>
  <c r="E120" i="1"/>
  <c r="E121" i="1"/>
  <c r="E122" i="1"/>
  <c r="E123" i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E130" i="1"/>
  <c r="E131" i="1"/>
  <c r="E132" i="1"/>
  <c r="E133" i="1"/>
  <c r="E134" i="1"/>
  <c r="E135" i="1"/>
  <c r="F135" i="1" s="1"/>
  <c r="E136" i="1"/>
  <c r="E137" i="1"/>
  <c r="E138" i="1"/>
  <c r="G138" i="1" s="1"/>
  <c r="E139" i="1"/>
  <c r="G139" i="1" s="1"/>
  <c r="E140" i="1"/>
  <c r="G140" i="1" s="1"/>
  <c r="E141" i="1"/>
  <c r="E142" i="1"/>
  <c r="G142" i="1" s="1"/>
  <c r="E143" i="1"/>
  <c r="E144" i="1"/>
  <c r="E145" i="1"/>
  <c r="E146" i="1"/>
  <c r="G146" i="1" s="1"/>
  <c r="E147" i="1"/>
  <c r="E148" i="1"/>
  <c r="G148" i="1" s="1"/>
  <c r="E149" i="1"/>
  <c r="E150" i="1"/>
  <c r="F150" i="1" s="1"/>
  <c r="E151" i="1"/>
  <c r="G151" i="1" s="1"/>
  <c r="E152" i="1"/>
  <c r="F152" i="1" s="1"/>
  <c r="E153" i="1"/>
  <c r="E154" i="1"/>
  <c r="E155" i="1"/>
  <c r="E156" i="1"/>
  <c r="E157" i="1"/>
  <c r="E158" i="1"/>
  <c r="G158" i="1" s="1"/>
  <c r="E159" i="1"/>
  <c r="E160" i="1"/>
  <c r="G160" i="1" s="1"/>
  <c r="E161" i="1"/>
  <c r="G161" i="1" s="1"/>
  <c r="E162" i="1"/>
  <c r="G162" i="1" s="1"/>
  <c r="E163" i="1"/>
  <c r="G163" i="1" s="1"/>
  <c r="E164" i="1"/>
  <c r="E165" i="1"/>
  <c r="E166" i="1"/>
  <c r="E167" i="1"/>
  <c r="E168" i="1"/>
  <c r="E169" i="1"/>
  <c r="E170" i="1"/>
  <c r="E171" i="1"/>
  <c r="E172" i="1"/>
  <c r="G172" i="1" s="1"/>
  <c r="E173" i="1"/>
  <c r="E174" i="1"/>
  <c r="E175" i="1"/>
  <c r="G175" i="1" s="1"/>
  <c r="E176" i="1"/>
  <c r="G176" i="1" s="1"/>
  <c r="E177" i="1"/>
  <c r="E178" i="1"/>
  <c r="E179" i="1"/>
  <c r="E180" i="1"/>
  <c r="E181" i="1"/>
  <c r="E182" i="1"/>
  <c r="E183" i="1"/>
  <c r="E184" i="1"/>
  <c r="E185" i="1"/>
  <c r="E186" i="1"/>
  <c r="G186" i="1" s="1"/>
  <c r="E187" i="1"/>
  <c r="G187" i="1" s="1"/>
  <c r="E188" i="1"/>
  <c r="G188" i="1" s="1"/>
  <c r="E189" i="1"/>
  <c r="E190" i="1"/>
  <c r="E191" i="1"/>
  <c r="E192" i="1"/>
  <c r="E193" i="1"/>
  <c r="E194" i="1"/>
  <c r="G194" i="1" s="1"/>
  <c r="E195" i="1"/>
  <c r="E196" i="1"/>
  <c r="G196" i="1" s="1"/>
  <c r="E197" i="1"/>
  <c r="E198" i="1"/>
  <c r="G198" i="1" s="1"/>
  <c r="E199" i="1"/>
  <c r="G199" i="1" s="1"/>
  <c r="E200" i="1"/>
  <c r="E201" i="1"/>
  <c r="E202" i="1"/>
  <c r="E203" i="1"/>
  <c r="E204" i="1"/>
  <c r="E205" i="1"/>
  <c r="E206" i="1"/>
  <c r="G206" i="1" s="1"/>
  <c r="E207" i="1"/>
  <c r="G207" i="1" s="1"/>
  <c r="E208" i="1"/>
  <c r="F208" i="1" s="1"/>
  <c r="E209" i="1"/>
  <c r="G209" i="1" s="1"/>
  <c r="E210" i="1"/>
  <c r="G210" i="1" s="1"/>
  <c r="E211" i="1"/>
  <c r="G211" i="1" s="1"/>
  <c r="E212" i="1"/>
  <c r="F212" i="1" s="1"/>
  <c r="E213" i="1"/>
  <c r="E214" i="1"/>
  <c r="E215" i="1"/>
  <c r="E216" i="1"/>
  <c r="E217" i="1"/>
  <c r="E218" i="1"/>
  <c r="E219" i="1"/>
  <c r="E220" i="1"/>
  <c r="G220" i="1" s="1"/>
  <c r="E221" i="1"/>
  <c r="G221" i="1" s="1"/>
  <c r="E222" i="1"/>
  <c r="G222" i="1" s="1"/>
  <c r="E223" i="1"/>
  <c r="G223" i="1" s="1"/>
  <c r="E224" i="1"/>
  <c r="G224" i="1" s="1"/>
  <c r="E225" i="1"/>
  <c r="E226" i="1"/>
  <c r="E227" i="1"/>
  <c r="E228" i="1"/>
  <c r="E229" i="1"/>
  <c r="E230" i="1"/>
  <c r="E231" i="1"/>
  <c r="E232" i="1"/>
  <c r="E233" i="1"/>
  <c r="E234" i="1"/>
  <c r="G234" i="1" s="1"/>
  <c r="E235" i="1"/>
  <c r="G235" i="1" s="1"/>
  <c r="E236" i="1"/>
  <c r="G236" i="1" s="1"/>
  <c r="E237" i="1"/>
  <c r="E238" i="1"/>
  <c r="G238" i="1" s="1"/>
  <c r="E239" i="1"/>
  <c r="E240" i="1"/>
  <c r="E241" i="1"/>
  <c r="E242" i="1"/>
  <c r="G242" i="1" s="1"/>
  <c r="E243" i="1"/>
  <c r="E244" i="1"/>
  <c r="E245" i="1"/>
  <c r="E246" i="1"/>
  <c r="G246" i="1" s="1"/>
  <c r="E247" i="1"/>
  <c r="G247" i="1" s="1"/>
  <c r="E248" i="1"/>
  <c r="E249" i="1"/>
  <c r="E250" i="1"/>
  <c r="E251" i="1"/>
  <c r="E252" i="1"/>
  <c r="E253" i="1"/>
  <c r="E254" i="1"/>
  <c r="G254" i="1" s="1"/>
  <c r="E255" i="1"/>
  <c r="E256" i="1"/>
  <c r="E257" i="1"/>
  <c r="G257" i="1" s="1"/>
  <c r="E258" i="1"/>
  <c r="G258" i="1" s="1"/>
  <c r="E259" i="1"/>
  <c r="G259" i="1" s="1"/>
  <c r="E260" i="1"/>
  <c r="F260" i="1" s="1"/>
  <c r="E261" i="1"/>
  <c r="E262" i="1"/>
  <c r="E263" i="1"/>
  <c r="E264" i="1"/>
  <c r="E265" i="1"/>
  <c r="E266" i="1"/>
  <c r="E267" i="1"/>
  <c r="E268" i="1"/>
  <c r="E269" i="1"/>
  <c r="G269" i="1" s="1"/>
  <c r="E270" i="1"/>
  <c r="G270" i="1" s="1"/>
  <c r="E271" i="1"/>
  <c r="G271" i="1" s="1"/>
  <c r="E272" i="1"/>
  <c r="G272" i="1" s="1"/>
  <c r="E273" i="1"/>
  <c r="E274" i="1"/>
  <c r="E275" i="1"/>
  <c r="E276" i="1"/>
  <c r="E277" i="1"/>
  <c r="E278" i="1"/>
  <c r="E279" i="1"/>
  <c r="E280" i="1"/>
  <c r="E281" i="1"/>
  <c r="E282" i="1"/>
  <c r="F282" i="1" s="1"/>
  <c r="E283" i="1"/>
  <c r="G283" i="1" s="1"/>
  <c r="E284" i="1"/>
  <c r="G284" i="1" s="1"/>
  <c r="E285" i="1"/>
  <c r="E286" i="1"/>
  <c r="E287" i="1"/>
  <c r="E288" i="1"/>
  <c r="E289" i="1"/>
  <c r="E290" i="1"/>
  <c r="G290" i="1" s="1"/>
  <c r="E291" i="1"/>
  <c r="E292" i="1"/>
  <c r="E293" i="1"/>
  <c r="E294" i="1"/>
  <c r="G294" i="1" s="1"/>
  <c r="E295" i="1"/>
  <c r="G295" i="1" s="1"/>
  <c r="E296" i="1"/>
  <c r="E297" i="1"/>
  <c r="E298" i="1"/>
  <c r="E299" i="1"/>
  <c r="E300" i="1"/>
  <c r="E301" i="1"/>
  <c r="E302" i="1"/>
  <c r="G302" i="1" s="1"/>
  <c r="E303" i="1"/>
  <c r="G303" i="1" s="1"/>
  <c r="E304" i="1"/>
  <c r="E305" i="1"/>
  <c r="G305" i="1" s="1"/>
  <c r="E306" i="1"/>
  <c r="F306" i="1" s="1"/>
  <c r="E307" i="1"/>
  <c r="G307" i="1" s="1"/>
  <c r="E308" i="1"/>
  <c r="E309" i="1"/>
  <c r="E310" i="1"/>
  <c r="E311" i="1"/>
  <c r="E312" i="1"/>
  <c r="E313" i="1"/>
  <c r="E314" i="1"/>
  <c r="E315" i="1"/>
  <c r="E316" i="1"/>
  <c r="E317" i="1"/>
  <c r="E318" i="1"/>
  <c r="G318" i="1" s="1"/>
  <c r="E319" i="1"/>
  <c r="G319" i="1" s="1"/>
  <c r="E320" i="1"/>
  <c r="G320" i="1" s="1"/>
  <c r="E321" i="1"/>
  <c r="E322" i="1"/>
  <c r="E323" i="1"/>
  <c r="E324" i="1"/>
  <c r="E325" i="1"/>
  <c r="E326" i="1"/>
  <c r="E327" i="1"/>
  <c r="E328" i="1"/>
  <c r="E329" i="1"/>
  <c r="E330" i="1"/>
  <c r="G330" i="1" s="1"/>
  <c r="E331" i="1"/>
  <c r="F331" i="1" s="1"/>
  <c r="E332" i="1"/>
  <c r="G332" i="1" s="1"/>
  <c r="E333" i="1"/>
  <c r="E334" i="1"/>
  <c r="G334" i="1" s="1"/>
  <c r="E335" i="1"/>
  <c r="E336" i="1"/>
  <c r="E337" i="1"/>
  <c r="E338" i="1"/>
  <c r="G338" i="1" s="1"/>
  <c r="E339" i="1"/>
  <c r="E340" i="1"/>
  <c r="E341" i="1"/>
  <c r="E342" i="1"/>
  <c r="F342" i="1" s="1"/>
  <c r="E343" i="1"/>
  <c r="G343" i="1" s="1"/>
  <c r="E344" i="1"/>
  <c r="E345" i="1"/>
  <c r="E346" i="1"/>
  <c r="E347" i="1"/>
  <c r="E348" i="1"/>
  <c r="E349" i="1"/>
  <c r="E350" i="1"/>
  <c r="G350" i="1" s="1"/>
  <c r="E351" i="1"/>
  <c r="E352" i="1"/>
  <c r="E353" i="1"/>
  <c r="E354" i="1"/>
  <c r="G354" i="1" s="1"/>
  <c r="E355" i="1"/>
  <c r="G355" i="1" s="1"/>
  <c r="E356" i="1"/>
  <c r="E357" i="1"/>
  <c r="E358" i="1"/>
  <c r="E359" i="1"/>
  <c r="E360" i="1"/>
  <c r="E361" i="1"/>
  <c r="E362" i="1"/>
  <c r="E363" i="1"/>
  <c r="E364" i="1"/>
  <c r="E365" i="1"/>
  <c r="G365" i="1" s="1"/>
  <c r="E366" i="1"/>
  <c r="G366" i="1" s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F307" i="1" l="1"/>
  <c r="F284" i="1"/>
  <c r="F211" i="1"/>
  <c r="F188" i="1"/>
  <c r="F175" i="1"/>
  <c r="F139" i="1"/>
  <c r="G331" i="1"/>
  <c r="F127" i="1"/>
  <c r="F43" i="1"/>
  <c r="F4" i="1"/>
  <c r="F355" i="1"/>
  <c r="F140" i="1"/>
  <c r="F283" i="1"/>
  <c r="F115" i="1"/>
  <c r="F272" i="1"/>
  <c r="F92" i="1"/>
  <c r="F271" i="1"/>
  <c r="F91" i="1"/>
  <c r="F223" i="1"/>
  <c r="F80" i="1"/>
  <c r="F40" i="1"/>
  <c r="F187" i="1"/>
  <c r="F20" i="1"/>
  <c r="G79" i="1"/>
  <c r="F176" i="1"/>
  <c r="F7" i="1"/>
  <c r="F207" i="1"/>
  <c r="G342" i="1"/>
  <c r="F206" i="1"/>
  <c r="F110" i="1"/>
  <c r="F318" i="1"/>
  <c r="F302" i="1"/>
  <c r="G282" i="1"/>
  <c r="G78" i="1"/>
  <c r="F78" i="1"/>
  <c r="F66" i="1"/>
  <c r="G150" i="1"/>
  <c r="G173" i="1"/>
  <c r="F173" i="1"/>
  <c r="G77" i="1"/>
  <c r="F77" i="1"/>
  <c r="G174" i="1"/>
  <c r="F174" i="1"/>
  <c r="F42" i="1"/>
  <c r="G54" i="1"/>
  <c r="F270" i="1"/>
  <c r="F269" i="1"/>
  <c r="F126" i="1"/>
  <c r="F6" i="1"/>
  <c r="F366" i="1"/>
  <c r="F222" i="1"/>
  <c r="F5" i="1"/>
  <c r="F332" i="1"/>
  <c r="F259" i="1"/>
  <c r="G260" i="1"/>
  <c r="F236" i="1"/>
  <c r="F319" i="1"/>
  <c r="F235" i="1"/>
  <c r="F163" i="1"/>
  <c r="F360" i="1"/>
  <c r="G360" i="1"/>
  <c r="G348" i="1"/>
  <c r="F348" i="1"/>
  <c r="G336" i="1"/>
  <c r="F336" i="1"/>
  <c r="G324" i="1"/>
  <c r="F324" i="1"/>
  <c r="G312" i="1"/>
  <c r="F312" i="1"/>
  <c r="G300" i="1"/>
  <c r="F300" i="1"/>
  <c r="G288" i="1"/>
  <c r="F288" i="1"/>
  <c r="G276" i="1"/>
  <c r="F276" i="1"/>
  <c r="G264" i="1"/>
  <c r="F264" i="1"/>
  <c r="G252" i="1"/>
  <c r="F252" i="1"/>
  <c r="G240" i="1"/>
  <c r="F240" i="1"/>
  <c r="G228" i="1"/>
  <c r="F228" i="1"/>
  <c r="G216" i="1"/>
  <c r="F216" i="1"/>
  <c r="G204" i="1"/>
  <c r="F204" i="1"/>
  <c r="F192" i="1"/>
  <c r="G192" i="1"/>
  <c r="G180" i="1"/>
  <c r="F180" i="1"/>
  <c r="G168" i="1"/>
  <c r="F168" i="1"/>
  <c r="F156" i="1"/>
  <c r="G156" i="1"/>
  <c r="G144" i="1"/>
  <c r="F144" i="1"/>
  <c r="F132" i="1"/>
  <c r="G132" i="1"/>
  <c r="F120" i="1"/>
  <c r="G120" i="1"/>
  <c r="G108" i="1"/>
  <c r="F108" i="1"/>
  <c r="G96" i="1"/>
  <c r="F96" i="1"/>
  <c r="F84" i="1"/>
  <c r="G84" i="1"/>
  <c r="G72" i="1"/>
  <c r="F72" i="1"/>
  <c r="G347" i="1"/>
  <c r="F347" i="1"/>
  <c r="G323" i="1"/>
  <c r="F323" i="1"/>
  <c r="G299" i="1"/>
  <c r="F299" i="1"/>
  <c r="G275" i="1"/>
  <c r="F275" i="1"/>
  <c r="G251" i="1"/>
  <c r="F251" i="1"/>
  <c r="F227" i="1"/>
  <c r="G227" i="1"/>
  <c r="G203" i="1"/>
  <c r="F203" i="1"/>
  <c r="G179" i="1"/>
  <c r="F179" i="1"/>
  <c r="G155" i="1"/>
  <c r="F155" i="1"/>
  <c r="G131" i="1"/>
  <c r="F131" i="1"/>
  <c r="G107" i="1"/>
  <c r="F107" i="1"/>
  <c r="G83" i="1"/>
  <c r="F83" i="1"/>
  <c r="G59" i="1"/>
  <c r="F59" i="1"/>
  <c r="G35" i="1"/>
  <c r="F35" i="1"/>
  <c r="G11" i="1"/>
  <c r="F11" i="1"/>
  <c r="G359" i="1"/>
  <c r="F359" i="1"/>
  <c r="G335" i="1"/>
  <c r="F335" i="1"/>
  <c r="G311" i="1"/>
  <c r="F311" i="1"/>
  <c r="G287" i="1"/>
  <c r="F287" i="1"/>
  <c r="G263" i="1"/>
  <c r="F263" i="1"/>
  <c r="G239" i="1"/>
  <c r="F239" i="1"/>
  <c r="G215" i="1"/>
  <c r="F215" i="1"/>
  <c r="G191" i="1"/>
  <c r="F191" i="1"/>
  <c r="G167" i="1"/>
  <c r="F167" i="1"/>
  <c r="G143" i="1"/>
  <c r="F143" i="1"/>
  <c r="G119" i="1"/>
  <c r="F119" i="1"/>
  <c r="G95" i="1"/>
  <c r="F95" i="1"/>
  <c r="G71" i="1"/>
  <c r="F71" i="1"/>
  <c r="G47" i="1"/>
  <c r="F47" i="1"/>
  <c r="G23" i="1"/>
  <c r="F23" i="1"/>
  <c r="G274" i="1"/>
  <c r="F274" i="1"/>
  <c r="G166" i="1"/>
  <c r="F166" i="1"/>
  <c r="G46" i="1"/>
  <c r="F46" i="1"/>
  <c r="F365" i="1"/>
  <c r="G346" i="1"/>
  <c r="F346" i="1"/>
  <c r="G322" i="1"/>
  <c r="F322" i="1"/>
  <c r="G286" i="1"/>
  <c r="F286" i="1"/>
  <c r="G250" i="1"/>
  <c r="F250" i="1"/>
  <c r="G214" i="1"/>
  <c r="F214" i="1"/>
  <c r="G190" i="1"/>
  <c r="F190" i="1"/>
  <c r="G154" i="1"/>
  <c r="F154" i="1"/>
  <c r="G118" i="1"/>
  <c r="F118" i="1"/>
  <c r="G94" i="1"/>
  <c r="F94" i="1"/>
  <c r="G58" i="1"/>
  <c r="F58" i="1"/>
  <c r="G22" i="1"/>
  <c r="F22" i="1"/>
  <c r="G358" i="1"/>
  <c r="F358" i="1"/>
  <c r="G310" i="1"/>
  <c r="F310" i="1"/>
  <c r="G106" i="1"/>
  <c r="F106" i="1"/>
  <c r="F82" i="1"/>
  <c r="G82" i="1"/>
  <c r="G34" i="1"/>
  <c r="F34" i="1"/>
  <c r="G10" i="1"/>
  <c r="F10" i="1"/>
  <c r="F334" i="1"/>
  <c r="F111" i="1"/>
  <c r="G135" i="1"/>
  <c r="G298" i="1"/>
  <c r="F298" i="1"/>
  <c r="F262" i="1"/>
  <c r="G262" i="1"/>
  <c r="G226" i="1"/>
  <c r="F226" i="1"/>
  <c r="G202" i="1"/>
  <c r="F202" i="1"/>
  <c r="G178" i="1"/>
  <c r="F178" i="1"/>
  <c r="G130" i="1"/>
  <c r="F130" i="1"/>
  <c r="G70" i="1"/>
  <c r="F70" i="1"/>
  <c r="G353" i="1"/>
  <c r="F353" i="1"/>
  <c r="G341" i="1"/>
  <c r="F341" i="1"/>
  <c r="G329" i="1"/>
  <c r="F329" i="1"/>
  <c r="G317" i="1"/>
  <c r="F317" i="1"/>
  <c r="F238" i="1"/>
  <c r="G364" i="1"/>
  <c r="F364" i="1"/>
  <c r="G352" i="1"/>
  <c r="F352" i="1"/>
  <c r="G340" i="1"/>
  <c r="F340" i="1"/>
  <c r="G328" i="1"/>
  <c r="F328" i="1"/>
  <c r="F316" i="1"/>
  <c r="G316" i="1"/>
  <c r="G304" i="1"/>
  <c r="F304" i="1"/>
  <c r="G292" i="1"/>
  <c r="F292" i="1"/>
  <c r="G280" i="1"/>
  <c r="F280" i="1"/>
  <c r="G268" i="1"/>
  <c r="F268" i="1"/>
  <c r="G256" i="1"/>
  <c r="F256" i="1"/>
  <c r="G244" i="1"/>
  <c r="F244" i="1"/>
  <c r="G363" i="1"/>
  <c r="F363" i="1"/>
  <c r="G351" i="1"/>
  <c r="F351" i="1"/>
  <c r="G339" i="1"/>
  <c r="F339" i="1"/>
  <c r="G327" i="1"/>
  <c r="F327" i="1"/>
  <c r="F315" i="1"/>
  <c r="G315" i="1"/>
  <c r="G291" i="1"/>
  <c r="F291" i="1"/>
  <c r="G279" i="1"/>
  <c r="F279" i="1"/>
  <c r="G267" i="1"/>
  <c r="F267" i="1"/>
  <c r="G255" i="1"/>
  <c r="F255" i="1"/>
  <c r="G243" i="1"/>
  <c r="F243" i="1"/>
  <c r="G231" i="1"/>
  <c r="F231" i="1"/>
  <c r="G219" i="1"/>
  <c r="F219" i="1"/>
  <c r="G195" i="1"/>
  <c r="F195" i="1"/>
  <c r="G183" i="1"/>
  <c r="F183" i="1"/>
  <c r="G171" i="1"/>
  <c r="F171" i="1"/>
  <c r="G159" i="1"/>
  <c r="F159" i="1"/>
  <c r="G147" i="1"/>
  <c r="F147" i="1"/>
  <c r="G123" i="1"/>
  <c r="F123" i="1"/>
  <c r="G99" i="1"/>
  <c r="F99" i="1"/>
  <c r="G87" i="1"/>
  <c r="F87" i="1"/>
  <c r="G75" i="1"/>
  <c r="F75" i="1"/>
  <c r="G63" i="1"/>
  <c r="F63" i="1"/>
  <c r="G51" i="1"/>
  <c r="F51" i="1"/>
  <c r="G39" i="1"/>
  <c r="F39" i="1"/>
  <c r="G27" i="1"/>
  <c r="F27" i="1"/>
  <c r="G15" i="1"/>
  <c r="F15" i="1"/>
  <c r="G3" i="1"/>
  <c r="F3" i="1"/>
  <c r="F303" i="1"/>
  <c r="F142" i="1"/>
  <c r="F361" i="1"/>
  <c r="G361" i="1"/>
  <c r="G349" i="1"/>
  <c r="F349" i="1"/>
  <c r="G337" i="1"/>
  <c r="F337" i="1"/>
  <c r="G325" i="1"/>
  <c r="F325" i="1"/>
  <c r="F313" i="1"/>
  <c r="G313" i="1"/>
  <c r="G301" i="1"/>
  <c r="F301" i="1"/>
  <c r="G289" i="1"/>
  <c r="F289" i="1"/>
  <c r="G277" i="1"/>
  <c r="F277" i="1"/>
  <c r="F265" i="1"/>
  <c r="G265" i="1"/>
  <c r="G253" i="1"/>
  <c r="F253" i="1"/>
  <c r="F241" i="1"/>
  <c r="G241" i="1"/>
  <c r="F229" i="1"/>
  <c r="G229" i="1"/>
  <c r="G217" i="1"/>
  <c r="F217" i="1"/>
  <c r="G205" i="1"/>
  <c r="F205" i="1"/>
  <c r="G193" i="1"/>
  <c r="F193" i="1"/>
  <c r="G181" i="1"/>
  <c r="F181" i="1"/>
  <c r="G169" i="1"/>
  <c r="F169" i="1"/>
  <c r="G157" i="1"/>
  <c r="F157" i="1"/>
  <c r="G145" i="1"/>
  <c r="F145" i="1"/>
  <c r="G133" i="1"/>
  <c r="F133" i="1"/>
  <c r="G121" i="1"/>
  <c r="F121" i="1"/>
  <c r="G109" i="1"/>
  <c r="F109" i="1"/>
  <c r="G97" i="1"/>
  <c r="F97" i="1"/>
  <c r="F85" i="1"/>
  <c r="G85" i="1"/>
  <c r="G73" i="1"/>
  <c r="F73" i="1"/>
  <c r="G61" i="1"/>
  <c r="F61" i="1"/>
  <c r="G49" i="1"/>
  <c r="F49" i="1"/>
  <c r="G37" i="1"/>
  <c r="F37" i="1"/>
  <c r="G25" i="1"/>
  <c r="F25" i="1"/>
  <c r="G13" i="1"/>
  <c r="F13" i="1"/>
  <c r="G309" i="1"/>
  <c r="F309" i="1"/>
  <c r="G237" i="1"/>
  <c r="F237" i="1"/>
  <c r="G165" i="1"/>
  <c r="F165" i="1"/>
  <c r="G81" i="1"/>
  <c r="F81" i="1"/>
  <c r="G9" i="1"/>
  <c r="F9" i="1"/>
  <c r="F172" i="1"/>
  <c r="F76" i="1"/>
  <c r="G357" i="1"/>
  <c r="F357" i="1"/>
  <c r="G321" i="1"/>
  <c r="F321" i="1"/>
  <c r="G285" i="1"/>
  <c r="F285" i="1"/>
  <c r="G261" i="1"/>
  <c r="F261" i="1"/>
  <c r="G225" i="1"/>
  <c r="F225" i="1"/>
  <c r="G201" i="1"/>
  <c r="F201" i="1"/>
  <c r="G177" i="1"/>
  <c r="F177" i="1"/>
  <c r="G141" i="1"/>
  <c r="F141" i="1"/>
  <c r="G117" i="1"/>
  <c r="F117" i="1"/>
  <c r="G33" i="1"/>
  <c r="F33" i="1"/>
  <c r="G356" i="1"/>
  <c r="F356" i="1"/>
  <c r="G344" i="1"/>
  <c r="F344" i="1"/>
  <c r="F308" i="1"/>
  <c r="G308" i="1"/>
  <c r="G296" i="1"/>
  <c r="F296" i="1"/>
  <c r="G248" i="1"/>
  <c r="F248" i="1"/>
  <c r="G200" i="1"/>
  <c r="F200" i="1"/>
  <c r="G164" i="1"/>
  <c r="F164" i="1"/>
  <c r="F116" i="1"/>
  <c r="G116" i="1"/>
  <c r="G104" i="1"/>
  <c r="F104" i="1"/>
  <c r="G68" i="1"/>
  <c r="F68" i="1"/>
  <c r="G56" i="1"/>
  <c r="F56" i="1"/>
  <c r="G44" i="1"/>
  <c r="F44" i="1"/>
  <c r="G32" i="1"/>
  <c r="F32" i="1"/>
  <c r="G8" i="1"/>
  <c r="F8" i="1"/>
  <c r="F196" i="1"/>
  <c r="F100" i="1"/>
  <c r="F29" i="1"/>
  <c r="G212" i="1"/>
  <c r="G345" i="1"/>
  <c r="F345" i="1"/>
  <c r="G333" i="1"/>
  <c r="F333" i="1"/>
  <c r="G297" i="1"/>
  <c r="F297" i="1"/>
  <c r="G273" i="1"/>
  <c r="F273" i="1"/>
  <c r="G249" i="1"/>
  <c r="F249" i="1"/>
  <c r="G213" i="1"/>
  <c r="F213" i="1"/>
  <c r="G189" i="1"/>
  <c r="F189" i="1"/>
  <c r="G153" i="1"/>
  <c r="F153" i="1"/>
  <c r="G129" i="1"/>
  <c r="F129" i="1"/>
  <c r="G105" i="1"/>
  <c r="F105" i="1"/>
  <c r="G93" i="1"/>
  <c r="F93" i="1"/>
  <c r="G69" i="1"/>
  <c r="F69" i="1"/>
  <c r="G45" i="1"/>
  <c r="F45" i="1"/>
  <c r="G21" i="1"/>
  <c r="F21" i="1"/>
  <c r="F320" i="1"/>
  <c r="F290" i="1"/>
  <c r="F257" i="1"/>
  <c r="F224" i="1"/>
  <c r="F194" i="1"/>
  <c r="F161" i="1"/>
  <c r="F128" i="1"/>
  <c r="F98" i="1"/>
  <c r="F64" i="1"/>
  <c r="F26" i="1"/>
  <c r="F160" i="1"/>
  <c r="G208" i="1"/>
  <c r="F293" i="1"/>
  <c r="G293" i="1"/>
  <c r="G281" i="1"/>
  <c r="F281" i="1"/>
  <c r="G245" i="1"/>
  <c r="F245" i="1"/>
  <c r="G233" i="1"/>
  <c r="F233" i="1"/>
  <c r="G197" i="1"/>
  <c r="F197" i="1"/>
  <c r="G185" i="1"/>
  <c r="F185" i="1"/>
  <c r="G149" i="1"/>
  <c r="F149" i="1"/>
  <c r="G137" i="1"/>
  <c r="F137" i="1"/>
  <c r="F101" i="1"/>
  <c r="G101" i="1"/>
  <c r="G89" i="1"/>
  <c r="F89" i="1"/>
  <c r="G65" i="1"/>
  <c r="F65" i="1"/>
  <c r="G53" i="1"/>
  <c r="F53" i="1"/>
  <c r="G41" i="1"/>
  <c r="F41" i="1"/>
  <c r="G17" i="1"/>
  <c r="F17" i="1"/>
  <c r="F62" i="1"/>
  <c r="F24" i="1"/>
  <c r="G50" i="1"/>
  <c r="G232" i="1"/>
  <c r="F232" i="1"/>
  <c r="G184" i="1"/>
  <c r="F184" i="1"/>
  <c r="G136" i="1"/>
  <c r="F136" i="1"/>
  <c r="G88" i="1"/>
  <c r="F88" i="1"/>
  <c r="G52" i="1"/>
  <c r="F52" i="1"/>
  <c r="G28" i="1"/>
  <c r="F28" i="1"/>
  <c r="G16" i="1"/>
  <c r="F16" i="1"/>
  <c r="F350" i="1"/>
  <c r="F254" i="1"/>
  <c r="F221" i="1"/>
  <c r="F158" i="1"/>
  <c r="F125" i="1"/>
  <c r="F220" i="1"/>
  <c r="F124" i="1"/>
  <c r="F57" i="1"/>
  <c r="G362" i="1"/>
  <c r="F362" i="1"/>
  <c r="G326" i="1"/>
  <c r="F326" i="1"/>
  <c r="G314" i="1"/>
  <c r="F314" i="1"/>
  <c r="G278" i="1"/>
  <c r="F278" i="1"/>
  <c r="G266" i="1"/>
  <c r="F266" i="1"/>
  <c r="G230" i="1"/>
  <c r="F230" i="1"/>
  <c r="G218" i="1"/>
  <c r="F218" i="1"/>
  <c r="G182" i="1"/>
  <c r="F182" i="1"/>
  <c r="G170" i="1"/>
  <c r="F170" i="1"/>
  <c r="G134" i="1"/>
  <c r="F134" i="1"/>
  <c r="G122" i="1"/>
  <c r="F122" i="1"/>
  <c r="G86" i="1"/>
  <c r="F86" i="1"/>
  <c r="G74" i="1"/>
  <c r="F74" i="1"/>
  <c r="G38" i="1"/>
  <c r="F38" i="1"/>
  <c r="G14" i="1"/>
  <c r="F14" i="1"/>
  <c r="F2" i="1"/>
  <c r="G2" i="1"/>
  <c r="F148" i="1"/>
  <c r="G152" i="1"/>
  <c r="F338" i="1"/>
  <c r="F305" i="1"/>
  <c r="F242" i="1"/>
  <c r="F209" i="1"/>
  <c r="F146" i="1"/>
  <c r="F113" i="1"/>
  <c r="F48" i="1"/>
  <c r="G60" i="1"/>
  <c r="F60" i="1"/>
  <c r="F36" i="1"/>
  <c r="G36" i="1"/>
  <c r="G12" i="1"/>
  <c r="F12" i="1"/>
  <c r="F112" i="1"/>
  <c r="F330" i="1"/>
  <c r="F234" i="1"/>
  <c r="F186" i="1"/>
  <c r="F138" i="1"/>
  <c r="F90" i="1"/>
  <c r="F19" i="1"/>
  <c r="F55" i="1"/>
  <c r="G55" i="1"/>
  <c r="G31" i="1"/>
  <c r="F31" i="1"/>
  <c r="F18" i="1"/>
  <c r="G306" i="1"/>
  <c r="G30" i="1"/>
  <c r="F30" i="1"/>
  <c r="F343" i="1"/>
  <c r="F295" i="1"/>
  <c r="F247" i="1"/>
  <c r="F199" i="1"/>
  <c r="F151" i="1"/>
  <c r="F103" i="1"/>
  <c r="F294" i="1"/>
  <c r="F246" i="1"/>
  <c r="F198" i="1"/>
  <c r="F102" i="1"/>
  <c r="F67" i="1"/>
  <c r="F354" i="1"/>
  <c r="F258" i="1"/>
  <c r="F210" i="1"/>
  <c r="F162" i="1"/>
  <c r="F114" i="1"/>
</calcChain>
</file>

<file path=xl/sharedStrings.xml><?xml version="1.0" encoding="utf-8"?>
<sst xmlns="http://schemas.openxmlformats.org/spreadsheetml/2006/main" count="1108" uniqueCount="740">
  <si>
    <t>date</t>
  </si>
  <si>
    <t>time_of_the_day</t>
  </si>
  <si>
    <t>weekday_weekend</t>
  </si>
  <si>
    <t>month</t>
  </si>
  <si>
    <t>quarter</t>
  </si>
  <si>
    <t>semester</t>
  </si>
  <si>
    <t>season</t>
  </si>
  <si>
    <t>year</t>
  </si>
  <si>
    <t>peak_shopping_time</t>
  </si>
  <si>
    <t>promotional_period</t>
  </si>
  <si>
    <t>order_processing_time</t>
  </si>
  <si>
    <t>return_period</t>
  </si>
  <si>
    <t>14:03:47</t>
  </si>
  <si>
    <t>07:05:14</t>
  </si>
  <si>
    <t>11:53:35</t>
  </si>
  <si>
    <t>13:04:41</t>
  </si>
  <si>
    <t>11:12:53</t>
  </si>
  <si>
    <t>19:28:07</t>
  </si>
  <si>
    <t>15:56:34</t>
  </si>
  <si>
    <t>12:42:47</t>
  </si>
  <si>
    <t>23:27:53</t>
  </si>
  <si>
    <t>18:51:45</t>
  </si>
  <si>
    <t>12:47:42</t>
  </si>
  <si>
    <t>14:08:58</t>
  </si>
  <si>
    <t>13:29:29</t>
  </si>
  <si>
    <t>03:40:10</t>
  </si>
  <si>
    <t>22:01:11</t>
  </si>
  <si>
    <t>22:05:02</t>
  </si>
  <si>
    <t>23:08:08</t>
  </si>
  <si>
    <t>21:03:15</t>
  </si>
  <si>
    <t>03:03:15</t>
  </si>
  <si>
    <t>04:00:31</t>
  </si>
  <si>
    <t>04:50:45</t>
  </si>
  <si>
    <t>07:08:37</t>
  </si>
  <si>
    <t>14:38:34</t>
  </si>
  <si>
    <t>21:52:34</t>
  </si>
  <si>
    <t>10:35:14</t>
  </si>
  <si>
    <t>08:43:50</t>
  </si>
  <si>
    <t>11:09:02</t>
  </si>
  <si>
    <t>12:22:23</t>
  </si>
  <si>
    <t>18:37:59</t>
  </si>
  <si>
    <t>18:40:52</t>
  </si>
  <si>
    <t>19:51:07</t>
  </si>
  <si>
    <t>02:29:38</t>
  </si>
  <si>
    <t>08:22:14</t>
  </si>
  <si>
    <t>17:31:53</t>
  </si>
  <si>
    <t>00:09:43</t>
  </si>
  <si>
    <t>16:28:42</t>
  </si>
  <si>
    <t>20:47:39</t>
  </si>
  <si>
    <t>03:26:20</t>
  </si>
  <si>
    <t>02:54:10</t>
  </si>
  <si>
    <t>16:59:03</t>
  </si>
  <si>
    <t>19:24:22</t>
  </si>
  <si>
    <t>08:52:40</t>
  </si>
  <si>
    <t>14:19:51</t>
  </si>
  <si>
    <t>22:23:23</t>
  </si>
  <si>
    <t>08:04:27</t>
  </si>
  <si>
    <t>22:44:45</t>
  </si>
  <si>
    <t>02:11:18</t>
  </si>
  <si>
    <t>04:56:17</t>
  </si>
  <si>
    <t>13:56:27</t>
  </si>
  <si>
    <t>10:15:32</t>
  </si>
  <si>
    <t>13:35:33</t>
  </si>
  <si>
    <t>18:16:25</t>
  </si>
  <si>
    <t>15:45:34</t>
  </si>
  <si>
    <t>23:01:41</t>
  </si>
  <si>
    <t>05:06:05</t>
  </si>
  <si>
    <t>19:03:44</t>
  </si>
  <si>
    <t>16:47:04</t>
  </si>
  <si>
    <t>19:48:21</t>
  </si>
  <si>
    <t>13:08:21</t>
  </si>
  <si>
    <t>17:48:59</t>
  </si>
  <si>
    <t>17:02:19</t>
  </si>
  <si>
    <t>23:10:50</t>
  </si>
  <si>
    <t>19:25:54</t>
  </si>
  <si>
    <t>02:26:47</t>
  </si>
  <si>
    <t>11:40:53</t>
  </si>
  <si>
    <t>01:25:58</t>
  </si>
  <si>
    <t>22:15:44</t>
  </si>
  <si>
    <t>23:02:52</t>
  </si>
  <si>
    <t>18:58:23</t>
  </si>
  <si>
    <t>05:25:39</t>
  </si>
  <si>
    <t>19:12:41</t>
  </si>
  <si>
    <t>09:36:27</t>
  </si>
  <si>
    <t>03:16:24</t>
  </si>
  <si>
    <t>23:25:21</t>
  </si>
  <si>
    <t>01:52:08</t>
  </si>
  <si>
    <t>00:47:46</t>
  </si>
  <si>
    <t>11:04:56</t>
  </si>
  <si>
    <t>11:41:05</t>
  </si>
  <si>
    <t>01:15:18</t>
  </si>
  <si>
    <t>00:47:27</t>
  </si>
  <si>
    <t>17:12:40</t>
  </si>
  <si>
    <t>14:37:07</t>
  </si>
  <si>
    <t>22:34:07</t>
  </si>
  <si>
    <t>07:35:25</t>
  </si>
  <si>
    <t>07:05:06</t>
  </si>
  <si>
    <t>20:53:07</t>
  </si>
  <si>
    <t>21:04:33</t>
  </si>
  <si>
    <t>00:54:43</t>
  </si>
  <si>
    <t>01:12:26</t>
  </si>
  <si>
    <t>06:28:32</t>
  </si>
  <si>
    <t>11:42:16</t>
  </si>
  <si>
    <t>20:34:14</t>
  </si>
  <si>
    <t>07:35:33</t>
  </si>
  <si>
    <t>06:58:34</t>
  </si>
  <si>
    <t>03:56:23</t>
  </si>
  <si>
    <t>03:50:51</t>
  </si>
  <si>
    <t>14:10:12</t>
  </si>
  <si>
    <t>20:34:37</t>
  </si>
  <si>
    <t>02:50:18</t>
  </si>
  <si>
    <t>08:12:18</t>
  </si>
  <si>
    <t>00:15:09</t>
  </si>
  <si>
    <t>14:08:23</t>
  </si>
  <si>
    <t>15:58:38</t>
  </si>
  <si>
    <t>02:20:36</t>
  </si>
  <si>
    <t>02:35:29</t>
  </si>
  <si>
    <t>08:10:04</t>
  </si>
  <si>
    <t>01:31:06</t>
  </si>
  <si>
    <t>21:26:17</t>
  </si>
  <si>
    <t>19:48:29</t>
  </si>
  <si>
    <t>13:47:20</t>
  </si>
  <si>
    <t>07:33:27</t>
  </si>
  <si>
    <t>22:19:01</t>
  </si>
  <si>
    <t>02:47:46</t>
  </si>
  <si>
    <t>20:19:16</t>
  </si>
  <si>
    <t>11:43:12</t>
  </si>
  <si>
    <t>06:51:57</t>
  </si>
  <si>
    <t>10:51:47</t>
  </si>
  <si>
    <t>08:53:35</t>
  </si>
  <si>
    <t>23:20:52</t>
  </si>
  <si>
    <t>12:33:48</t>
  </si>
  <si>
    <t>16:33:26</t>
  </si>
  <si>
    <t>14:42:57</t>
  </si>
  <si>
    <t>10:23:49</t>
  </si>
  <si>
    <t>22:22:38</t>
  </si>
  <si>
    <t>22:26:06</t>
  </si>
  <si>
    <t>10:36:09</t>
  </si>
  <si>
    <t>14:55:52</t>
  </si>
  <si>
    <t>12:40:06</t>
  </si>
  <si>
    <t>03:22:36</t>
  </si>
  <si>
    <t>21:00:38</t>
  </si>
  <si>
    <t>05:32:39</t>
  </si>
  <si>
    <t>13:52:07</t>
  </si>
  <si>
    <t>12:40:49</t>
  </si>
  <si>
    <t>01:54:26</t>
  </si>
  <si>
    <t>15:10:52</t>
  </si>
  <si>
    <t>12:42:10</t>
  </si>
  <si>
    <t>08:34:52</t>
  </si>
  <si>
    <t>21:24:05</t>
  </si>
  <si>
    <t>10:15:43</t>
  </si>
  <si>
    <t>13:34:33</t>
  </si>
  <si>
    <t>10:02:05</t>
  </si>
  <si>
    <t>15:21:53</t>
  </si>
  <si>
    <t>11:16:00</t>
  </si>
  <si>
    <t>16:54:07</t>
  </si>
  <si>
    <t>00:20:58</t>
  </si>
  <si>
    <t>05:36:29</t>
  </si>
  <si>
    <t>01:44:35</t>
  </si>
  <si>
    <t>09:40:46</t>
  </si>
  <si>
    <t>13:53:13</t>
  </si>
  <si>
    <t>16:24:30</t>
  </si>
  <si>
    <t>17:36:59</t>
  </si>
  <si>
    <t>10:34:36</t>
  </si>
  <si>
    <t>09:21:04</t>
  </si>
  <si>
    <t>22:53:14</t>
  </si>
  <si>
    <t>08:00:26</t>
  </si>
  <si>
    <t>00:14:30</t>
  </si>
  <si>
    <t>09:43:42</t>
  </si>
  <si>
    <t>14:27:48</t>
  </si>
  <si>
    <t>09:55:47</t>
  </si>
  <si>
    <t>05:49:47</t>
  </si>
  <si>
    <t>07:20:52</t>
  </si>
  <si>
    <t>19:06:28</t>
  </si>
  <si>
    <t>22:50:40</t>
  </si>
  <si>
    <t>17:54:27</t>
  </si>
  <si>
    <t>04:45:25</t>
  </si>
  <si>
    <t>23:00:27</t>
  </si>
  <si>
    <t>06:44:02</t>
  </si>
  <si>
    <t>15:55:39</t>
  </si>
  <si>
    <t>01:33:00</t>
  </si>
  <si>
    <t>20:53:21</t>
  </si>
  <si>
    <t>03:06:18</t>
  </si>
  <si>
    <t>03:11:26</t>
  </si>
  <si>
    <t>07:09:59</t>
  </si>
  <si>
    <t>06:26:18</t>
  </si>
  <si>
    <t>04:29:49</t>
  </si>
  <si>
    <t>13:28:03</t>
  </si>
  <si>
    <t>04:49:49</t>
  </si>
  <si>
    <t>09:28:07</t>
  </si>
  <si>
    <t>16:02:13</t>
  </si>
  <si>
    <t>10:33:01</t>
  </si>
  <si>
    <t>18:56:01</t>
  </si>
  <si>
    <t>02:36:51</t>
  </si>
  <si>
    <t>00:17:09</t>
  </si>
  <si>
    <t>10:59:14</t>
  </si>
  <si>
    <t>01:43:40</t>
  </si>
  <si>
    <t>13:11:58</t>
  </si>
  <si>
    <t>02:11:29</t>
  </si>
  <si>
    <t>09:02:25</t>
  </si>
  <si>
    <t>18:35:02</t>
  </si>
  <si>
    <t>15:53:28</t>
  </si>
  <si>
    <t>02:46:55</t>
  </si>
  <si>
    <t>09:43:05</t>
  </si>
  <si>
    <t>16:04:31</t>
  </si>
  <si>
    <t>23:40:30</t>
  </si>
  <si>
    <t>05:55:40</t>
  </si>
  <si>
    <t>03:44:30</t>
  </si>
  <si>
    <t>07:21:37</t>
  </si>
  <si>
    <t>22:11:54</t>
  </si>
  <si>
    <t>12:40:10</t>
  </si>
  <si>
    <t>14:57:46</t>
  </si>
  <si>
    <t>20:33:02</t>
  </si>
  <si>
    <t>16:05:47</t>
  </si>
  <si>
    <t>15:53:34</t>
  </si>
  <si>
    <t>22:13:07</t>
  </si>
  <si>
    <t>21:38:49</t>
  </si>
  <si>
    <t>20:40:58</t>
  </si>
  <si>
    <t>05:36:08</t>
  </si>
  <si>
    <t>12:09:11</t>
  </si>
  <si>
    <t>20:24:58</t>
  </si>
  <si>
    <t>03:30:13</t>
  </si>
  <si>
    <t>06:24:01</t>
  </si>
  <si>
    <t>04:31:11</t>
  </si>
  <si>
    <t>05:02:27</t>
  </si>
  <si>
    <t>16:04:16</t>
  </si>
  <si>
    <t>08:47:13</t>
  </si>
  <si>
    <t>02:11:28</t>
  </si>
  <si>
    <t>02:09:13</t>
  </si>
  <si>
    <t>21:59:34</t>
  </si>
  <si>
    <t>11:01:01</t>
  </si>
  <si>
    <t>03:13:25</t>
  </si>
  <si>
    <t>21:12:45</t>
  </si>
  <si>
    <t>04:44:43</t>
  </si>
  <si>
    <t>10:24:25</t>
  </si>
  <si>
    <t>12:55:51</t>
  </si>
  <si>
    <t>13:57:29</t>
  </si>
  <si>
    <t>20:22:34</t>
  </si>
  <si>
    <t>08:49:25</t>
  </si>
  <si>
    <t>08:00:52</t>
  </si>
  <si>
    <t>18:47:26</t>
  </si>
  <si>
    <t>09:23:00</t>
  </si>
  <si>
    <t>06:40:33</t>
  </si>
  <si>
    <t>00:34:52</t>
  </si>
  <si>
    <t>13:23:55</t>
  </si>
  <si>
    <t>03:36:42</t>
  </si>
  <si>
    <t>03:44:40</t>
  </si>
  <si>
    <t>07:57:50</t>
  </si>
  <si>
    <t>06:18:50</t>
  </si>
  <si>
    <t>22:30:58</t>
  </si>
  <si>
    <t>02:59:27</t>
  </si>
  <si>
    <t>00:19:55</t>
  </si>
  <si>
    <t>05:42:03</t>
  </si>
  <si>
    <t>23:40:05</t>
  </si>
  <si>
    <t>07:34:45</t>
  </si>
  <si>
    <t>09:28:03</t>
  </si>
  <si>
    <t>22:38:15</t>
  </si>
  <si>
    <t>01:42:27</t>
  </si>
  <si>
    <t>20:56:08</t>
  </si>
  <si>
    <t>22:16:12</t>
  </si>
  <si>
    <t>18:25:00</t>
  </si>
  <si>
    <t>17:16:53</t>
  </si>
  <si>
    <t>05:53:56</t>
  </si>
  <si>
    <t>08:50:30</t>
  </si>
  <si>
    <t>14:22:07</t>
  </si>
  <si>
    <t>18:28:33</t>
  </si>
  <si>
    <t>03:09:22</t>
  </si>
  <si>
    <t>00:04:14</t>
  </si>
  <si>
    <t>19:04:51</t>
  </si>
  <si>
    <t>06:03:16</t>
  </si>
  <si>
    <t>14:49:12</t>
  </si>
  <si>
    <t>12:06:19</t>
  </si>
  <si>
    <t>01:41:57</t>
  </si>
  <si>
    <t>15:04:42</t>
  </si>
  <si>
    <t>13:06:54</t>
  </si>
  <si>
    <t>01:36:22</t>
  </si>
  <si>
    <t>13:21:51</t>
  </si>
  <si>
    <t>17:38:57</t>
  </si>
  <si>
    <t>15:35:10</t>
  </si>
  <si>
    <t>10:06:26</t>
  </si>
  <si>
    <t>06:13:34</t>
  </si>
  <si>
    <t>17:06:07</t>
  </si>
  <si>
    <t>17:52:38</t>
  </si>
  <si>
    <t>10:50:06</t>
  </si>
  <si>
    <t>09:34:49</t>
  </si>
  <si>
    <t>19:52:07</t>
  </si>
  <si>
    <t>09:58:38</t>
  </si>
  <si>
    <t>18:13:54</t>
  </si>
  <si>
    <t>17:18:07</t>
  </si>
  <si>
    <t>00:09:36</t>
  </si>
  <si>
    <t>12:05:25</t>
  </si>
  <si>
    <t>17:15:47</t>
  </si>
  <si>
    <t>13:53:52</t>
  </si>
  <si>
    <t>04:25:27</t>
  </si>
  <si>
    <t>08:51:38</t>
  </si>
  <si>
    <t>12:16:27</t>
  </si>
  <si>
    <t>04:08:36</t>
  </si>
  <si>
    <t>06:23:18</t>
  </si>
  <si>
    <t>16:54:42</t>
  </si>
  <si>
    <t>15:27:08</t>
  </si>
  <si>
    <t>19:36:59</t>
  </si>
  <si>
    <t>14:33:09</t>
  </si>
  <si>
    <t>21:14:46</t>
  </si>
  <si>
    <t>18:45:59</t>
  </si>
  <si>
    <t>12:40:30</t>
  </si>
  <si>
    <t>00:00:20</t>
  </si>
  <si>
    <t>07:53:35</t>
  </si>
  <si>
    <t>03:30:04</t>
  </si>
  <si>
    <t>16:13:04</t>
  </si>
  <si>
    <t>12:27:10</t>
  </si>
  <si>
    <t>09:58:07</t>
  </si>
  <si>
    <t>01:56:51</t>
  </si>
  <si>
    <t>00:32:24</t>
  </si>
  <si>
    <t>14:03:19</t>
  </si>
  <si>
    <t>21:51:24</t>
  </si>
  <si>
    <t>11:50:44</t>
  </si>
  <si>
    <t>01:50:18</t>
  </si>
  <si>
    <t>10:48:42</t>
  </si>
  <si>
    <t>15:12:26</t>
  </si>
  <si>
    <t>07:48:01</t>
  </si>
  <si>
    <t>21:13:03</t>
  </si>
  <si>
    <t>14:14:33</t>
  </si>
  <si>
    <t>02:17:15</t>
  </si>
  <si>
    <t>00:42:56</t>
  </si>
  <si>
    <t>19:38:24</t>
  </si>
  <si>
    <t>07:09:38</t>
  </si>
  <si>
    <t>02:00:14</t>
  </si>
  <si>
    <t>04:15:58</t>
  </si>
  <si>
    <t>09:37:04</t>
  </si>
  <si>
    <t>23:07:30</t>
  </si>
  <si>
    <t>02:15:18</t>
  </si>
  <si>
    <t>08:48:20</t>
  </si>
  <si>
    <t>11:15:33</t>
  </si>
  <si>
    <t>12:49:24</t>
  </si>
  <si>
    <t>11:42:26</t>
  </si>
  <si>
    <t>07:39:06</t>
  </si>
  <si>
    <t>14:35:35</t>
  </si>
  <si>
    <t>02:39:11</t>
  </si>
  <si>
    <t>04:53:29</t>
  </si>
  <si>
    <t>00:53:15</t>
  </si>
  <si>
    <t>18:37:02</t>
  </si>
  <si>
    <t>09:48:37</t>
  </si>
  <si>
    <t>22:47:27</t>
  </si>
  <si>
    <t>09:45:18</t>
  </si>
  <si>
    <t>01:32:38</t>
  </si>
  <si>
    <t>23:01:32</t>
  </si>
  <si>
    <t>16:50:51</t>
  </si>
  <si>
    <t>00:49:38</t>
  </si>
  <si>
    <t>02:29:05</t>
  </si>
  <si>
    <t>22:17:09</t>
  </si>
  <si>
    <t>12:40:03</t>
  </si>
  <si>
    <t>05:07:03</t>
  </si>
  <si>
    <t>11:31:54</t>
  </si>
  <si>
    <t>14:47:21</t>
  </si>
  <si>
    <t>00:45:23</t>
  </si>
  <si>
    <t>18:09:44</t>
  </si>
  <si>
    <t>09:39:32</t>
  </si>
  <si>
    <t>20:52:09</t>
  </si>
  <si>
    <t>22:55:17</t>
  </si>
  <si>
    <t>14:43:37</t>
  </si>
  <si>
    <t>08:13:03</t>
  </si>
  <si>
    <t>06:19:42</t>
  </si>
  <si>
    <t>07:49:19</t>
  </si>
  <si>
    <t>19:12:45</t>
  </si>
  <si>
    <t>14:50:48</t>
  </si>
  <si>
    <t>22:33:45</t>
  </si>
  <si>
    <t>03:00:04</t>
  </si>
  <si>
    <t>10:13:00</t>
  </si>
  <si>
    <t>11:14:54</t>
  </si>
  <si>
    <t>10:20:45</t>
  </si>
  <si>
    <t>01:45:02</t>
  </si>
  <si>
    <t>23:46:56</t>
  </si>
  <si>
    <t>21:01:42</t>
  </si>
  <si>
    <t>14:55:19</t>
  </si>
  <si>
    <t>13:17:38</t>
  </si>
  <si>
    <t>15:53:27</t>
  </si>
  <si>
    <t>05:32:01</t>
  </si>
  <si>
    <t>20:15:42</t>
  </si>
  <si>
    <t>09:16:01</t>
  </si>
  <si>
    <t>10:57:05</t>
  </si>
  <si>
    <t>19:32:47</t>
  </si>
  <si>
    <t>06:26:47</t>
  </si>
  <si>
    <t>11:07:56</t>
  </si>
  <si>
    <t>14:43:31</t>
  </si>
  <si>
    <t>13:29:38</t>
  </si>
  <si>
    <t>14:36:07</t>
  </si>
  <si>
    <t>11:17:18</t>
  </si>
  <si>
    <t>11:03:37</t>
  </si>
  <si>
    <t>11:04:50</t>
  </si>
  <si>
    <t>13:19:09</t>
  </si>
  <si>
    <t>12:57:01</t>
  </si>
  <si>
    <t>13:45:52</t>
  </si>
  <si>
    <t>14:59:30</t>
  </si>
  <si>
    <t>13:55:29</t>
  </si>
  <si>
    <t>13:25:25</t>
  </si>
  <si>
    <t>13:47:03</t>
  </si>
  <si>
    <t>13:07:35</t>
  </si>
  <si>
    <t>11:29:56</t>
  </si>
  <si>
    <t>14:20:13</t>
  </si>
  <si>
    <t>11:17:32</t>
  </si>
  <si>
    <t>13:35:10</t>
  </si>
  <si>
    <t>11:20:27</t>
  </si>
  <si>
    <t>11:55:27</t>
  </si>
  <si>
    <t>12:14:09</t>
  </si>
  <si>
    <t>12:51:31</t>
  </si>
  <si>
    <t>14:44:19</t>
  </si>
  <si>
    <t>13:17:27</t>
  </si>
  <si>
    <t>14:34:27</t>
  </si>
  <si>
    <t>11:13:56</t>
  </si>
  <si>
    <t>13:56:13</t>
  </si>
  <si>
    <t>11:09:35</t>
  </si>
  <si>
    <t>12:11:16</t>
  </si>
  <si>
    <t>11:34:04</t>
  </si>
  <si>
    <t>11:45:06</t>
  </si>
  <si>
    <t>14:48:35</t>
  </si>
  <si>
    <t>11:38:42</t>
  </si>
  <si>
    <t>11:06:50</t>
  </si>
  <si>
    <t>14:35:06</t>
  </si>
  <si>
    <t>11:02:10</t>
  </si>
  <si>
    <t>14:06:56</t>
  </si>
  <si>
    <t>14:53:03</t>
  </si>
  <si>
    <t>14:25:19</t>
  </si>
  <si>
    <t>14:35:04</t>
  </si>
  <si>
    <t>12:18:13</t>
  </si>
  <si>
    <t>11:26:25</t>
  </si>
  <si>
    <t>14:20:50</t>
  </si>
  <si>
    <t>13:56:40</t>
  </si>
  <si>
    <t>14:36:27</t>
  </si>
  <si>
    <t>13:39:18</t>
  </si>
  <si>
    <t>13:13:03</t>
  </si>
  <si>
    <t>12:37:58</t>
  </si>
  <si>
    <t>11:24:28</t>
  </si>
  <si>
    <t>13:24:15</t>
  </si>
  <si>
    <t>13:40:58</t>
  </si>
  <si>
    <t>12:26:59</t>
  </si>
  <si>
    <t>11:42:50</t>
  </si>
  <si>
    <t>13:16:07</t>
  </si>
  <si>
    <t>14:28:45</t>
  </si>
  <si>
    <t>13:30:48</t>
  </si>
  <si>
    <t>14:31:00</t>
  </si>
  <si>
    <t>14:01:18</t>
  </si>
  <si>
    <t>11:28:11</t>
  </si>
  <si>
    <t>14:56:22</t>
  </si>
  <si>
    <t>13:41:54</t>
  </si>
  <si>
    <t>13:02:41</t>
  </si>
  <si>
    <t>11:00:40</t>
  </si>
  <si>
    <t>12:39:10</t>
  </si>
  <si>
    <t>14:26:02</t>
  </si>
  <si>
    <t>14:44:07</t>
  </si>
  <si>
    <t>12:26:04</t>
  </si>
  <si>
    <t>13:08:41</t>
  </si>
  <si>
    <t>13:51:53</t>
  </si>
  <si>
    <t>12:34:10</t>
  </si>
  <si>
    <t>12:49:10</t>
  </si>
  <si>
    <t>12:35:52</t>
  </si>
  <si>
    <t>13:41:28</t>
  </si>
  <si>
    <t>11:01:31</t>
  </si>
  <si>
    <t>12:01:04</t>
  </si>
  <si>
    <t>11:55:28</t>
  </si>
  <si>
    <t>12:46:15</t>
  </si>
  <si>
    <t>12:56:28</t>
  </si>
  <si>
    <t>13:47:48</t>
  </si>
  <si>
    <t>13:50:05</t>
  </si>
  <si>
    <t>13:01:38</t>
  </si>
  <si>
    <t>12:22:20</t>
  </si>
  <si>
    <t>12:04:03</t>
  </si>
  <si>
    <t>12:38:46</t>
  </si>
  <si>
    <t>14:44:59</t>
  </si>
  <si>
    <t>13:53:55</t>
  </si>
  <si>
    <t>13:49:43</t>
  </si>
  <si>
    <t>14:18:47</t>
  </si>
  <si>
    <t>11:35:06</t>
  </si>
  <si>
    <t>14:18:23</t>
  </si>
  <si>
    <t>14:20:47</t>
  </si>
  <si>
    <t>14:05:07</t>
  </si>
  <si>
    <t>12:13:27</t>
  </si>
  <si>
    <t>14:35:02</t>
  </si>
  <si>
    <t>11:06:57</t>
  </si>
  <si>
    <t>14:36:34</t>
  </si>
  <si>
    <t>13:13:09</t>
  </si>
  <si>
    <t>12:04:30</t>
  </si>
  <si>
    <t>11:01:12</t>
  </si>
  <si>
    <t>14:01:31</t>
  </si>
  <si>
    <t>12:47:28</t>
  </si>
  <si>
    <t>11:14:36</t>
  </si>
  <si>
    <t>13:03:27</t>
  </si>
  <si>
    <t>14:28:09</t>
  </si>
  <si>
    <t>13:06:59</t>
  </si>
  <si>
    <t>11:51:44</t>
  </si>
  <si>
    <t>11:43:04</t>
  </si>
  <si>
    <t>14:46:25</t>
  </si>
  <si>
    <t>14:50:22</t>
  </si>
  <si>
    <t>13:04:25</t>
  </si>
  <si>
    <t>14:21:43</t>
  </si>
  <si>
    <t>14:15:35</t>
  </si>
  <si>
    <t>13:24:49</t>
  </si>
  <si>
    <t>11:01:59</t>
  </si>
  <si>
    <t>11:39:38</t>
  </si>
  <si>
    <t>11:14:06</t>
  </si>
  <si>
    <t>11:58:14</t>
  </si>
  <si>
    <t>13:30:59</t>
  </si>
  <si>
    <t>12:53:43</t>
  </si>
  <si>
    <t>11:55:10</t>
  </si>
  <si>
    <t>13:29:32</t>
  </si>
  <si>
    <t>13:09:09</t>
  </si>
  <si>
    <t>13:30:07</t>
  </si>
  <si>
    <t>12:58:24</t>
  </si>
  <si>
    <t>11:11:18</t>
  </si>
  <si>
    <t>11:31:46</t>
  </si>
  <si>
    <t>14:42:25</t>
  </si>
  <si>
    <t>11:36:12</t>
  </si>
  <si>
    <t>12:07:51</t>
  </si>
  <si>
    <t>11:09:06</t>
  </si>
  <si>
    <t>13:10:39</t>
  </si>
  <si>
    <t>13:06:25</t>
  </si>
  <si>
    <t>11:25:52</t>
  </si>
  <si>
    <t>14:29:59</t>
  </si>
  <si>
    <t>13:32:41</t>
  </si>
  <si>
    <t>11:34:17</t>
  </si>
  <si>
    <t>12:45:01</t>
  </si>
  <si>
    <t>13:44:58</t>
  </si>
  <si>
    <t>14:38:27</t>
  </si>
  <si>
    <t>11:20:01</t>
  </si>
  <si>
    <t>13:54:41</t>
  </si>
  <si>
    <t>11:42:18</t>
  </si>
  <si>
    <t>11:13:53</t>
  </si>
  <si>
    <t>13:30:44</t>
  </si>
  <si>
    <t>14:55:25</t>
  </si>
  <si>
    <t>13:18:56</t>
  </si>
  <si>
    <t>12:42:14</t>
  </si>
  <si>
    <t>12:00:30</t>
  </si>
  <si>
    <t>13:53:06</t>
  </si>
  <si>
    <t>13:09:02</t>
  </si>
  <si>
    <t>13:44:19</t>
  </si>
  <si>
    <t>14:14:44</t>
  </si>
  <si>
    <t>12:05:43</t>
  </si>
  <si>
    <t>11:30:28</t>
  </si>
  <si>
    <t>12:40:01</t>
  </si>
  <si>
    <t>13:47:34</t>
  </si>
  <si>
    <t>13:15:54</t>
  </si>
  <si>
    <t>12:25:04</t>
  </si>
  <si>
    <t>14:49:29</t>
  </si>
  <si>
    <t>14:57:47</t>
  </si>
  <si>
    <t>11:19:17</t>
  </si>
  <si>
    <t>13:38:23</t>
  </si>
  <si>
    <t>11:53:19</t>
  </si>
  <si>
    <t>14:36:14</t>
  </si>
  <si>
    <t>11:37:46</t>
  </si>
  <si>
    <t>14:23:05</t>
  </si>
  <si>
    <t>12:51:06</t>
  </si>
  <si>
    <t>13:56:29</t>
  </si>
  <si>
    <t>11:32:45</t>
  </si>
  <si>
    <t>12:51:00</t>
  </si>
  <si>
    <t>12:30:03</t>
  </si>
  <si>
    <t>13:56:18</t>
  </si>
  <si>
    <t>12:40:46</t>
  </si>
  <si>
    <t>12:18:32</t>
  </si>
  <si>
    <t>14:43:04</t>
  </si>
  <si>
    <t>12:07:11</t>
  </si>
  <si>
    <t>11:16:40</t>
  </si>
  <si>
    <t>11:55:48</t>
  </si>
  <si>
    <t>11:35:59</t>
  </si>
  <si>
    <t>11:54:21</t>
  </si>
  <si>
    <t>13:59:57</t>
  </si>
  <si>
    <t>13:59:24</t>
  </si>
  <si>
    <t>13:47:38</t>
  </si>
  <si>
    <t>12:57:02</t>
  </si>
  <si>
    <t>13:20:27</t>
  </si>
  <si>
    <t>12:36:36</t>
  </si>
  <si>
    <t>14:23:37</t>
  </si>
  <si>
    <t>14:03:43</t>
  </si>
  <si>
    <t>11:01:06</t>
  </si>
  <si>
    <t>12:23:25</t>
  </si>
  <si>
    <t>12:20:03</t>
  </si>
  <si>
    <t>11:22:50</t>
  </si>
  <si>
    <t>14:21:07</t>
  </si>
  <si>
    <t>11:09:47</t>
  </si>
  <si>
    <t>12:55:22</t>
  </si>
  <si>
    <t>13:19:12</t>
  </si>
  <si>
    <t>14:45:11</t>
  </si>
  <si>
    <t>12:21:01</t>
  </si>
  <si>
    <t>11:30:35</t>
  </si>
  <si>
    <t>13:54:31</t>
  </si>
  <si>
    <t>12:24:08</t>
  </si>
  <si>
    <t>12:48:50</t>
  </si>
  <si>
    <t>14:46:16</t>
  </si>
  <si>
    <t>14:36:36</t>
  </si>
  <si>
    <t>11:22:02</t>
  </si>
  <si>
    <t>12:08:07</t>
  </si>
  <si>
    <t>14:59:31</t>
  </si>
  <si>
    <t>13:43:10</t>
  </si>
  <si>
    <t>14:16:06</t>
  </si>
  <si>
    <t>13:05:38</t>
  </si>
  <si>
    <t>12:56:36</t>
  </si>
  <si>
    <t>13:47:14</t>
  </si>
  <si>
    <t>12:24:43</t>
  </si>
  <si>
    <t>11:15:08</t>
  </si>
  <si>
    <t>12:34:28</t>
  </si>
  <si>
    <t>14:45:44</t>
  </si>
  <si>
    <t>12:37:15</t>
  </si>
  <si>
    <t>13:26:44</t>
  </si>
  <si>
    <t>13:05:51</t>
  </si>
  <si>
    <t>11:42:25</t>
  </si>
  <si>
    <t>11:52:29</t>
  </si>
  <si>
    <t>14:08:50</t>
  </si>
  <si>
    <t>14:33:48</t>
  </si>
  <si>
    <t>14:30:41</t>
  </si>
  <si>
    <t>14:21:17</t>
  </si>
  <si>
    <t>13:08:48</t>
  </si>
  <si>
    <t>11:47:28</t>
  </si>
  <si>
    <t>14:10:20</t>
  </si>
  <si>
    <t>14:27:44</t>
  </si>
  <si>
    <t>11:07:29</t>
  </si>
  <si>
    <t>11:04:51</t>
  </si>
  <si>
    <t>12:59:57</t>
  </si>
  <si>
    <t>13:34:54</t>
  </si>
  <si>
    <t>13:08:31</t>
  </si>
  <si>
    <t>11:21:28</t>
  </si>
  <si>
    <t>14:44:03</t>
  </si>
  <si>
    <t>12:33:32</t>
  </si>
  <si>
    <t>13:26:20</t>
  </si>
  <si>
    <t>12:43:12</t>
  </si>
  <si>
    <t>11:47:55</t>
  </si>
  <si>
    <t>13:42:41</t>
  </si>
  <si>
    <t>12:37:46</t>
  </si>
  <si>
    <t>13:06:20</t>
  </si>
  <si>
    <t>11:54:13</t>
  </si>
  <si>
    <t>14:10:17</t>
  </si>
  <si>
    <t>12:24:47</t>
  </si>
  <si>
    <t>13:17:22</t>
  </si>
  <si>
    <t>14:19:02</t>
  </si>
  <si>
    <t>13:38:39</t>
  </si>
  <si>
    <t>11:18:58</t>
  </si>
  <si>
    <t>12:25:51</t>
  </si>
  <si>
    <t>12:41:10</t>
  </si>
  <si>
    <t>11:13:45</t>
  </si>
  <si>
    <t>12:35:39</t>
  </si>
  <si>
    <t>14:02:48</t>
  </si>
  <si>
    <t>14:28:28</t>
  </si>
  <si>
    <t>12:35:09</t>
  </si>
  <si>
    <t>14:08:41</t>
  </si>
  <si>
    <t>11:05:35</t>
  </si>
  <si>
    <t>12:17:06</t>
  </si>
  <si>
    <t>14:19:04</t>
  </si>
  <si>
    <t>12:50:41</t>
  </si>
  <si>
    <t>14:52:49</t>
  </si>
  <si>
    <t>13:48:27</t>
  </si>
  <si>
    <t>11:14:20</t>
  </si>
  <si>
    <t>12:42:46</t>
  </si>
  <si>
    <t>11:59:15</t>
  </si>
  <si>
    <t>13:12:33</t>
  </si>
  <si>
    <t>11:55:09</t>
  </si>
  <si>
    <t>13:48:23</t>
  </si>
  <si>
    <t>13:19:44</t>
  </si>
  <si>
    <t>14:51:36</t>
  </si>
  <si>
    <t>12:02:07</t>
  </si>
  <si>
    <t>13:46:57</t>
  </si>
  <si>
    <t>11:30:40</t>
  </si>
  <si>
    <t>14:58:26</t>
  </si>
  <si>
    <t>13:03:21</t>
  </si>
  <si>
    <t>14:19:57</t>
  </si>
  <si>
    <t>13:46:39</t>
  </si>
  <si>
    <t>12:32:34</t>
  </si>
  <si>
    <t>11:15:35</t>
  </si>
  <si>
    <t>13:47:32</t>
  </si>
  <si>
    <t>14:31:07</t>
  </si>
  <si>
    <t>14:46:02</t>
  </si>
  <si>
    <t>12:34:03</t>
  </si>
  <si>
    <t>14:40:06</t>
  </si>
  <si>
    <t>11:19:45</t>
  </si>
  <si>
    <t>14:32:38</t>
  </si>
  <si>
    <t>12:09:57</t>
  </si>
  <si>
    <t>13:03:23</t>
  </si>
  <si>
    <t>14:41:06</t>
  </si>
  <si>
    <t>14:54:17</t>
  </si>
  <si>
    <t>14:27:39</t>
  </si>
  <si>
    <t>14:53:21</t>
  </si>
  <si>
    <t>13:58:13</t>
  </si>
  <si>
    <t>13:36:15</t>
  </si>
  <si>
    <t>12:12:12</t>
  </si>
  <si>
    <t>13:14:10</t>
  </si>
  <si>
    <t>11:07:30</t>
  </si>
  <si>
    <t>12:35:43</t>
  </si>
  <si>
    <t>13:23:46</t>
  </si>
  <si>
    <t>11:03:38</t>
  </si>
  <si>
    <t>14:30:25</t>
  </si>
  <si>
    <t>13:52:20</t>
  </si>
  <si>
    <t>13:14:34</t>
  </si>
  <si>
    <t>11:16:07</t>
  </si>
  <si>
    <t>11:41:18</t>
  </si>
  <si>
    <t>12:38:07</t>
  </si>
  <si>
    <t>11:56:47</t>
  </si>
  <si>
    <t>12:38:24</t>
  </si>
  <si>
    <t>13:30:56</t>
  </si>
  <si>
    <t>13:51:57</t>
  </si>
  <si>
    <t>14:17:17</t>
  </si>
  <si>
    <t>11:50:23</t>
  </si>
  <si>
    <t>14:07:31</t>
  </si>
  <si>
    <t>14:58:43</t>
  </si>
  <si>
    <t>11:25:49</t>
  </si>
  <si>
    <t>12:39:52</t>
  </si>
  <si>
    <t>13:18:21</t>
  </si>
  <si>
    <t>13:52:21</t>
  </si>
  <si>
    <t>12:40:43</t>
  </si>
  <si>
    <t>11:39:39</t>
  </si>
  <si>
    <t>12:44:55</t>
  </si>
  <si>
    <t>13:01:53</t>
  </si>
  <si>
    <t>13:00:59</t>
  </si>
  <si>
    <t>13:33:46</t>
  </si>
  <si>
    <t>12:17:40</t>
  </si>
  <si>
    <t>12:25:44</t>
  </si>
  <si>
    <t>13:24:34</t>
  </si>
  <si>
    <t>13:00:37</t>
  </si>
  <si>
    <t>11:01:02</t>
  </si>
  <si>
    <t>14:21:01</t>
  </si>
  <si>
    <t>12:37:12</t>
  </si>
  <si>
    <t>14:46:59</t>
  </si>
  <si>
    <t>14:33:34</t>
  </si>
  <si>
    <t>13:36:26</t>
  </si>
  <si>
    <t>13:06:42</t>
  </si>
  <si>
    <t>14:21:32</t>
  </si>
  <si>
    <t>12:35:54</t>
  </si>
  <si>
    <t>14:02:35</t>
  </si>
  <si>
    <t>13:50:19</t>
  </si>
  <si>
    <t>12:53:35</t>
  </si>
  <si>
    <t>11:23:23</t>
  </si>
  <si>
    <t>14:40:58</t>
  </si>
  <si>
    <t>13:08:14</t>
  </si>
  <si>
    <t>12:44:39</t>
  </si>
  <si>
    <t>14:54:08</t>
  </si>
  <si>
    <t>14:05:49</t>
  </si>
  <si>
    <t>12:00:54</t>
  </si>
  <si>
    <t>13:14:21</t>
  </si>
  <si>
    <t>Christmas</t>
  </si>
  <si>
    <t>Black Friday</t>
  </si>
  <si>
    <t>Summer Sales</t>
  </si>
  <si>
    <t>Easter Sales</t>
  </si>
  <si>
    <t>Winter Sales</t>
  </si>
  <si>
    <t>None</t>
  </si>
  <si>
    <t>week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</si>
</sst>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6694-D828-44E9-A147-2A0FBAA21D22}">
  <dimension ref="A1:M366"/>
  <sheetViews>
    <sheetView showGridLines="0" tabSelected="1" workbookViewId="0">
      <selection activeCell="E10" sqref="E10"/>
    </sheetView>
  </sheetViews>
  <sheetFormatPr defaultRowHeight="14.5" x14ac:dyDescent="0.35"/>
  <cols>
    <col min="1" max="1" width="10.08984375" style="1" bestFit="1" customWidth="1"/>
    <col min="2" max="2" width="18.90625" style="1" bestFit="1" customWidth="1"/>
    <col min="3" max="3" width="13.08984375" style="1" bestFit="1" customWidth="1"/>
    <col min="4" max="4" width="21.08984375" style="1" bestFit="1" customWidth="1"/>
    <col min="5" max="5" width="10.90625" style="1" bestFit="1" customWidth="1"/>
    <col min="6" max="6" width="11.54296875" style="1" bestFit="1" customWidth="1"/>
    <col min="7" max="7" width="13.08984375" style="1" bestFit="1" customWidth="1"/>
    <col min="8" max="8" width="11.54296875" style="1" bestFit="1" customWidth="1"/>
    <col min="9" max="9" width="9" style="1" bestFit="1" customWidth="1"/>
    <col min="10" max="10" width="23" style="1" bestFit="1" customWidth="1"/>
    <col min="11" max="11" width="22.453125" style="1" bestFit="1" customWidth="1"/>
    <col min="12" max="12" width="24.90625" style="1" bestFit="1" customWidth="1"/>
    <col min="13" max="13" width="16.7265625" style="1" bestFit="1" customWidth="1"/>
  </cols>
  <sheetData>
    <row r="1" spans="1:13" s="2" customFormat="1" x14ac:dyDescent="0.35">
      <c r="A1" s="2" t="s">
        <v>0</v>
      </c>
      <c r="B1" s="2" t="s">
        <v>1</v>
      </c>
      <c r="C1" s="2" t="s">
        <v>739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3">
        <v>44927</v>
      </c>
      <c r="B2" s="2" t="s">
        <v>26</v>
      </c>
      <c r="C2" s="2">
        <f t="shared" ref="C2:C65" si="0">WEEKDAY(A2)</f>
        <v>1</v>
      </c>
      <c r="D2" s="2" t="str">
        <f t="shared" ref="D2:D32" si="1">IF(C2&lt;6,"Workday","Weekend")</f>
        <v>Workday</v>
      </c>
      <c r="E2" s="2">
        <f t="shared" ref="E2:E65" si="2">MONTH(A2)</f>
        <v>1</v>
      </c>
      <c r="F2" s="2" t="str">
        <f t="shared" ref="F2:F32" si="3">IF(E2&lt;4,"First",IF(AND(E2&gt;3,E2&lt;7),"Second",IF(AND(E2&gt;6,E2&lt;10),"Third",IF(E2&gt;9,"Fourth",0))))</f>
        <v>First</v>
      </c>
      <c r="G2" s="2" t="str">
        <f t="shared" ref="G2:G32" si="4">IF(E2&lt;7,"First","Second")</f>
        <v>First</v>
      </c>
      <c r="H2" s="2" t="str">
        <f>LOOKUP(DAYS360(DATE(YEAR(A2),1,0),A2), {0,81,171,263,352}, {"Winter","Spring","Summer","Autumn","Winter"})</f>
        <v>Winter</v>
      </c>
      <c r="I2" s="2">
        <f t="shared" ref="I2:I65" si="5">YEAR(A2)</f>
        <v>2023</v>
      </c>
      <c r="J2" s="2" t="s">
        <v>432</v>
      </c>
      <c r="K2" s="2" t="s">
        <v>737</v>
      </c>
      <c r="L2" s="2">
        <v>10</v>
      </c>
      <c r="M2" s="2">
        <v>2</v>
      </c>
    </row>
    <row r="3" spans="1:13" x14ac:dyDescent="0.35">
      <c r="A3" s="3">
        <v>44928</v>
      </c>
      <c r="B3" s="2" t="s">
        <v>27</v>
      </c>
      <c r="C3" s="2">
        <f t="shared" si="0"/>
        <v>2</v>
      </c>
      <c r="D3" s="2" t="str">
        <f t="shared" si="1"/>
        <v>Workday</v>
      </c>
      <c r="E3" s="2">
        <f t="shared" si="2"/>
        <v>1</v>
      </c>
      <c r="F3" s="2" t="str">
        <f t="shared" si="3"/>
        <v>First</v>
      </c>
      <c r="G3" s="2" t="str">
        <f t="shared" si="4"/>
        <v>First</v>
      </c>
      <c r="H3" s="2" t="str">
        <f>LOOKUP(DAYS360(DATE(YEAR(A3),1,0),A3), {0,81,171,263,352}, {"Winter","Spring","Summer","Autumn","Winter"})</f>
        <v>Winter</v>
      </c>
      <c r="I3" s="2">
        <f t="shared" si="5"/>
        <v>2023</v>
      </c>
      <c r="J3" s="2" t="s">
        <v>433</v>
      </c>
      <c r="K3" s="2" t="s">
        <v>737</v>
      </c>
      <c r="L3" s="2">
        <v>8</v>
      </c>
      <c r="M3" s="2">
        <v>8</v>
      </c>
    </row>
    <row r="4" spans="1:13" x14ac:dyDescent="0.35">
      <c r="A4" s="3">
        <v>44929</v>
      </c>
      <c r="B4" s="2" t="s">
        <v>28</v>
      </c>
      <c r="C4" s="2">
        <f t="shared" si="0"/>
        <v>3</v>
      </c>
      <c r="D4" s="2" t="str">
        <f t="shared" si="1"/>
        <v>Workday</v>
      </c>
      <c r="E4" s="2">
        <f t="shared" si="2"/>
        <v>1</v>
      </c>
      <c r="F4" s="2" t="str">
        <f t="shared" si="3"/>
        <v>First</v>
      </c>
      <c r="G4" s="2" t="str">
        <f t="shared" si="4"/>
        <v>First</v>
      </c>
      <c r="H4" s="2" t="str">
        <f>LOOKUP(DAYS360(DATE(YEAR(A4),1,0),A4), {0,81,171,263,352}, {"Winter","Spring","Summer","Autumn","Winter"})</f>
        <v>Winter</v>
      </c>
      <c r="I4" s="2">
        <f t="shared" si="5"/>
        <v>2023</v>
      </c>
      <c r="J4" s="2" t="s">
        <v>434</v>
      </c>
      <c r="K4" s="2" t="s">
        <v>737</v>
      </c>
      <c r="L4" s="2">
        <v>12</v>
      </c>
      <c r="M4" s="2">
        <v>1</v>
      </c>
    </row>
    <row r="5" spans="1:13" x14ac:dyDescent="0.35">
      <c r="A5" s="3">
        <v>44930</v>
      </c>
      <c r="B5" s="2" t="s">
        <v>29</v>
      </c>
      <c r="C5" s="2">
        <f t="shared" si="0"/>
        <v>4</v>
      </c>
      <c r="D5" s="2" t="str">
        <f t="shared" si="1"/>
        <v>Workday</v>
      </c>
      <c r="E5" s="2">
        <f t="shared" si="2"/>
        <v>1</v>
      </c>
      <c r="F5" s="2" t="str">
        <f t="shared" si="3"/>
        <v>First</v>
      </c>
      <c r="G5" s="2" t="str">
        <f t="shared" si="4"/>
        <v>First</v>
      </c>
      <c r="H5" s="2" t="str">
        <f>LOOKUP(DAYS360(DATE(YEAR(A5),1,0),A5), {0,81,171,263,352}, {"Winter","Spring","Summer","Autumn","Winter"})</f>
        <v>Winter</v>
      </c>
      <c r="I5" s="2">
        <f t="shared" si="5"/>
        <v>2023</v>
      </c>
      <c r="J5" s="2" t="s">
        <v>393</v>
      </c>
      <c r="K5" s="2" t="s">
        <v>737</v>
      </c>
      <c r="L5" s="2">
        <v>3</v>
      </c>
      <c r="M5" s="2">
        <v>5</v>
      </c>
    </row>
    <row r="6" spans="1:13" x14ac:dyDescent="0.35">
      <c r="A6" s="3">
        <v>44931</v>
      </c>
      <c r="B6" s="2" t="s">
        <v>30</v>
      </c>
      <c r="C6" s="2">
        <f t="shared" si="0"/>
        <v>5</v>
      </c>
      <c r="D6" s="2" t="str">
        <f t="shared" si="1"/>
        <v>Workday</v>
      </c>
      <c r="E6" s="2">
        <f t="shared" si="2"/>
        <v>1</v>
      </c>
      <c r="F6" s="2" t="str">
        <f t="shared" si="3"/>
        <v>First</v>
      </c>
      <c r="G6" s="2" t="str">
        <f t="shared" si="4"/>
        <v>First</v>
      </c>
      <c r="H6" s="2" t="str">
        <f>LOOKUP(DAYS360(DATE(YEAR(A6),1,0),A6), {0,81,171,263,352}, {"Winter","Spring","Summer","Autumn","Winter"})</f>
        <v>Winter</v>
      </c>
      <c r="I6" s="2">
        <f t="shared" si="5"/>
        <v>2023</v>
      </c>
      <c r="J6" s="2" t="s">
        <v>435</v>
      </c>
      <c r="K6" s="2" t="s">
        <v>737</v>
      </c>
      <c r="L6" s="2">
        <v>15</v>
      </c>
      <c r="M6" s="2">
        <v>16</v>
      </c>
    </row>
    <row r="7" spans="1:13" x14ac:dyDescent="0.35">
      <c r="A7" s="3">
        <v>44932</v>
      </c>
      <c r="B7" s="2" t="s">
        <v>31</v>
      </c>
      <c r="C7" s="2">
        <f t="shared" si="0"/>
        <v>6</v>
      </c>
      <c r="D7" s="2" t="str">
        <f t="shared" si="1"/>
        <v>Weekend</v>
      </c>
      <c r="E7" s="2">
        <f t="shared" si="2"/>
        <v>1</v>
      </c>
      <c r="F7" s="2" t="str">
        <f t="shared" si="3"/>
        <v>First</v>
      </c>
      <c r="G7" s="2" t="str">
        <f t="shared" si="4"/>
        <v>First</v>
      </c>
      <c r="H7" s="2" t="str">
        <f>LOOKUP(DAYS360(DATE(YEAR(A7),1,0),A7), {0,81,171,263,352}, {"Winter","Spring","Summer","Autumn","Winter"})</f>
        <v>Winter</v>
      </c>
      <c r="I7" s="2">
        <f t="shared" si="5"/>
        <v>2023</v>
      </c>
      <c r="J7" s="2" t="s">
        <v>436</v>
      </c>
      <c r="K7" s="2" t="s">
        <v>737</v>
      </c>
      <c r="L7" s="2">
        <v>9</v>
      </c>
      <c r="M7" s="2">
        <v>3</v>
      </c>
    </row>
    <row r="8" spans="1:13" x14ac:dyDescent="0.35">
      <c r="A8" s="3">
        <v>44933</v>
      </c>
      <c r="B8" s="2" t="s">
        <v>32</v>
      </c>
      <c r="C8" s="2">
        <f t="shared" si="0"/>
        <v>7</v>
      </c>
      <c r="D8" s="2" t="str">
        <f t="shared" si="1"/>
        <v>Weekend</v>
      </c>
      <c r="E8" s="2">
        <f t="shared" si="2"/>
        <v>1</v>
      </c>
      <c r="F8" s="2" t="str">
        <f t="shared" si="3"/>
        <v>First</v>
      </c>
      <c r="G8" s="2" t="str">
        <f t="shared" si="4"/>
        <v>First</v>
      </c>
      <c r="H8" s="2" t="str">
        <f>LOOKUP(DAYS360(DATE(YEAR(A8),1,0),A8), {0,81,171,263,352}, {"Winter","Spring","Summer","Autumn","Winter"})</f>
        <v>Winter</v>
      </c>
      <c r="I8" s="2">
        <f t="shared" si="5"/>
        <v>2023</v>
      </c>
      <c r="J8" s="2" t="s">
        <v>437</v>
      </c>
      <c r="K8" s="2" t="s">
        <v>737</v>
      </c>
      <c r="L8" s="2">
        <v>17</v>
      </c>
      <c r="M8" s="2">
        <v>1</v>
      </c>
    </row>
    <row r="9" spans="1:13" x14ac:dyDescent="0.35">
      <c r="A9" s="3">
        <v>44934</v>
      </c>
      <c r="B9" s="2" t="s">
        <v>33</v>
      </c>
      <c r="C9" s="2">
        <f t="shared" si="0"/>
        <v>1</v>
      </c>
      <c r="D9" s="2" t="str">
        <f t="shared" si="1"/>
        <v>Workday</v>
      </c>
      <c r="E9" s="2">
        <f t="shared" si="2"/>
        <v>1</v>
      </c>
      <c r="F9" s="2" t="str">
        <f t="shared" si="3"/>
        <v>First</v>
      </c>
      <c r="G9" s="2" t="str">
        <f t="shared" si="4"/>
        <v>First</v>
      </c>
      <c r="H9" s="2" t="str">
        <f>LOOKUP(DAYS360(DATE(YEAR(A9),1,0),A9), {0,81,171,263,352}, {"Winter","Spring","Summer","Autumn","Winter"})</f>
        <v>Winter</v>
      </c>
      <c r="I9" s="2">
        <f t="shared" si="5"/>
        <v>2023</v>
      </c>
      <c r="J9" s="2" t="s">
        <v>438</v>
      </c>
      <c r="K9" s="2" t="s">
        <v>737</v>
      </c>
      <c r="L9" s="2">
        <v>3</v>
      </c>
      <c r="M9" s="2">
        <v>14</v>
      </c>
    </row>
    <row r="10" spans="1:13" x14ac:dyDescent="0.35">
      <c r="A10" s="3">
        <v>44935</v>
      </c>
      <c r="B10" s="2" t="s">
        <v>34</v>
      </c>
      <c r="C10" s="2">
        <f t="shared" si="0"/>
        <v>2</v>
      </c>
      <c r="D10" s="2" t="str">
        <f t="shared" si="1"/>
        <v>Workday</v>
      </c>
      <c r="E10" s="2">
        <f t="shared" si="2"/>
        <v>1</v>
      </c>
      <c r="F10" s="2" t="str">
        <f t="shared" si="3"/>
        <v>First</v>
      </c>
      <c r="G10" s="2" t="str">
        <f t="shared" si="4"/>
        <v>First</v>
      </c>
      <c r="H10" s="2" t="str">
        <f>LOOKUP(DAYS360(DATE(YEAR(A10),1,0),A10), {0,81,171,263,352}, {"Winter","Spring","Summer","Autumn","Winter"})</f>
        <v>Winter</v>
      </c>
      <c r="I10" s="2">
        <f t="shared" si="5"/>
        <v>2023</v>
      </c>
      <c r="J10" s="2" t="s">
        <v>439</v>
      </c>
      <c r="K10" s="2" t="s">
        <v>737</v>
      </c>
      <c r="L10" s="2">
        <v>18</v>
      </c>
      <c r="M10" s="2">
        <v>5</v>
      </c>
    </row>
    <row r="11" spans="1:13" x14ac:dyDescent="0.35">
      <c r="A11" s="3">
        <v>44936</v>
      </c>
      <c r="B11" s="2" t="s">
        <v>35</v>
      </c>
      <c r="C11" s="2">
        <f t="shared" si="0"/>
        <v>3</v>
      </c>
      <c r="D11" s="2" t="str">
        <f t="shared" si="1"/>
        <v>Workday</v>
      </c>
      <c r="E11" s="2">
        <f t="shared" si="2"/>
        <v>1</v>
      </c>
      <c r="F11" s="2" t="str">
        <f t="shared" si="3"/>
        <v>First</v>
      </c>
      <c r="G11" s="2" t="str">
        <f t="shared" si="4"/>
        <v>First</v>
      </c>
      <c r="H11" s="2" t="str">
        <f>LOOKUP(DAYS360(DATE(YEAR(A11),1,0),A11), {0,81,171,263,352}, {"Winter","Spring","Summer","Autumn","Winter"})</f>
        <v>Winter</v>
      </c>
      <c r="I11" s="2">
        <f t="shared" si="5"/>
        <v>2023</v>
      </c>
      <c r="J11" s="2" t="s">
        <v>440</v>
      </c>
      <c r="K11" s="2" t="s">
        <v>737</v>
      </c>
      <c r="L11" s="2">
        <v>20</v>
      </c>
      <c r="M11" s="2">
        <v>16</v>
      </c>
    </row>
    <row r="12" spans="1:13" x14ac:dyDescent="0.35">
      <c r="A12" s="3">
        <v>44937</v>
      </c>
      <c r="B12" s="2" t="s">
        <v>36</v>
      </c>
      <c r="C12" s="2">
        <f t="shared" si="0"/>
        <v>4</v>
      </c>
      <c r="D12" s="2" t="str">
        <f t="shared" si="1"/>
        <v>Workday</v>
      </c>
      <c r="E12" s="2">
        <f t="shared" si="2"/>
        <v>1</v>
      </c>
      <c r="F12" s="2" t="str">
        <f t="shared" si="3"/>
        <v>First</v>
      </c>
      <c r="G12" s="2" t="str">
        <f t="shared" si="4"/>
        <v>First</v>
      </c>
      <c r="H12" s="2" t="str">
        <f>LOOKUP(DAYS360(DATE(YEAR(A12),1,0),A12), {0,81,171,263,352}, {"Winter","Spring","Summer","Autumn","Winter"})</f>
        <v>Winter</v>
      </c>
      <c r="I12" s="2">
        <f t="shared" si="5"/>
        <v>2023</v>
      </c>
      <c r="J12" s="2" t="s">
        <v>441</v>
      </c>
      <c r="K12" s="2" t="s">
        <v>737</v>
      </c>
      <c r="L12" s="2">
        <v>10</v>
      </c>
      <c r="M12" s="2">
        <v>19</v>
      </c>
    </row>
    <row r="13" spans="1:13" x14ac:dyDescent="0.35">
      <c r="A13" s="3">
        <v>44938</v>
      </c>
      <c r="B13" s="2" t="s">
        <v>37</v>
      </c>
      <c r="C13" s="2">
        <f t="shared" si="0"/>
        <v>5</v>
      </c>
      <c r="D13" s="2" t="str">
        <f t="shared" si="1"/>
        <v>Workday</v>
      </c>
      <c r="E13" s="2">
        <f t="shared" si="2"/>
        <v>1</v>
      </c>
      <c r="F13" s="2" t="str">
        <f t="shared" si="3"/>
        <v>First</v>
      </c>
      <c r="G13" s="2" t="str">
        <f t="shared" si="4"/>
        <v>First</v>
      </c>
      <c r="H13" s="2" t="str">
        <f>LOOKUP(DAYS360(DATE(YEAR(A13),1,0),A13), {0,81,171,263,352}, {"Winter","Spring","Summer","Autumn","Winter"})</f>
        <v>Winter</v>
      </c>
      <c r="I13" s="2">
        <f t="shared" si="5"/>
        <v>2023</v>
      </c>
      <c r="J13" s="2" t="s">
        <v>442</v>
      </c>
      <c r="K13" s="2" t="s">
        <v>737</v>
      </c>
      <c r="L13" s="2">
        <v>20</v>
      </c>
      <c r="M13" s="2">
        <v>7</v>
      </c>
    </row>
    <row r="14" spans="1:13" x14ac:dyDescent="0.35">
      <c r="A14" s="3">
        <v>44939</v>
      </c>
      <c r="B14" s="2" t="s">
        <v>38</v>
      </c>
      <c r="C14" s="2">
        <f t="shared" si="0"/>
        <v>6</v>
      </c>
      <c r="D14" s="2" t="str">
        <f t="shared" si="1"/>
        <v>Weekend</v>
      </c>
      <c r="E14" s="2">
        <f t="shared" si="2"/>
        <v>1</v>
      </c>
      <c r="F14" s="2" t="str">
        <f t="shared" si="3"/>
        <v>First</v>
      </c>
      <c r="G14" s="2" t="str">
        <f t="shared" si="4"/>
        <v>First</v>
      </c>
      <c r="H14" s="2" t="str">
        <f>LOOKUP(DAYS360(DATE(YEAR(A14),1,0),A14), {0,81,171,263,352}, {"Winter","Spring","Summer","Autumn","Winter"})</f>
        <v>Winter</v>
      </c>
      <c r="I14" s="2">
        <f t="shared" si="5"/>
        <v>2023</v>
      </c>
      <c r="J14" s="2" t="s">
        <v>443</v>
      </c>
      <c r="K14" s="2" t="s">
        <v>737</v>
      </c>
      <c r="L14" s="2">
        <v>14</v>
      </c>
      <c r="M14" s="2">
        <v>16</v>
      </c>
    </row>
    <row r="15" spans="1:13" x14ac:dyDescent="0.35">
      <c r="A15" s="3">
        <v>44940</v>
      </c>
      <c r="B15" s="2" t="s">
        <v>39</v>
      </c>
      <c r="C15" s="2">
        <f t="shared" si="0"/>
        <v>7</v>
      </c>
      <c r="D15" s="2" t="str">
        <f t="shared" si="1"/>
        <v>Weekend</v>
      </c>
      <c r="E15" s="2">
        <f t="shared" si="2"/>
        <v>1</v>
      </c>
      <c r="F15" s="2" t="str">
        <f t="shared" si="3"/>
        <v>First</v>
      </c>
      <c r="G15" s="2" t="str">
        <f t="shared" si="4"/>
        <v>First</v>
      </c>
      <c r="H15" s="2" t="str">
        <f>LOOKUP(DAYS360(DATE(YEAR(A15),1,0),A15), {0,81,171,263,352}, {"Winter","Spring","Summer","Autumn","Winter"})</f>
        <v>Winter</v>
      </c>
      <c r="I15" s="2">
        <f t="shared" si="5"/>
        <v>2023</v>
      </c>
      <c r="J15" s="2" t="s">
        <v>444</v>
      </c>
      <c r="K15" s="2" t="s">
        <v>737</v>
      </c>
      <c r="L15" s="2">
        <v>1</v>
      </c>
      <c r="M15" s="2">
        <v>15</v>
      </c>
    </row>
    <row r="16" spans="1:13" x14ac:dyDescent="0.35">
      <c r="A16" s="3">
        <v>44941</v>
      </c>
      <c r="B16" s="2" t="s">
        <v>40</v>
      </c>
      <c r="C16" s="2">
        <f t="shared" si="0"/>
        <v>1</v>
      </c>
      <c r="D16" s="2" t="str">
        <f t="shared" si="1"/>
        <v>Workday</v>
      </c>
      <c r="E16" s="2">
        <f t="shared" si="2"/>
        <v>1</v>
      </c>
      <c r="F16" s="2" t="str">
        <f t="shared" si="3"/>
        <v>First</v>
      </c>
      <c r="G16" s="2" t="str">
        <f t="shared" si="4"/>
        <v>First</v>
      </c>
      <c r="H16" s="2" t="str">
        <f>LOOKUP(DAYS360(DATE(YEAR(A16),1,0),A16), {0,81,171,263,352}, {"Winter","Spring","Summer","Autumn","Winter"})</f>
        <v>Winter</v>
      </c>
      <c r="I16" s="2">
        <f t="shared" si="5"/>
        <v>2023</v>
      </c>
      <c r="J16" s="2" t="s">
        <v>445</v>
      </c>
      <c r="K16" s="2" t="s">
        <v>737</v>
      </c>
      <c r="L16" s="2">
        <v>16</v>
      </c>
      <c r="M16" s="2">
        <v>6</v>
      </c>
    </row>
    <row r="17" spans="1:13" x14ac:dyDescent="0.35">
      <c r="A17" s="3">
        <v>44942</v>
      </c>
      <c r="B17" s="2" t="s">
        <v>41</v>
      </c>
      <c r="C17" s="2">
        <f t="shared" si="0"/>
        <v>2</v>
      </c>
      <c r="D17" s="2" t="str">
        <f t="shared" si="1"/>
        <v>Workday</v>
      </c>
      <c r="E17" s="2">
        <f t="shared" si="2"/>
        <v>1</v>
      </c>
      <c r="F17" s="2" t="str">
        <f t="shared" si="3"/>
        <v>First</v>
      </c>
      <c r="G17" s="2" t="str">
        <f t="shared" si="4"/>
        <v>First</v>
      </c>
      <c r="H17" s="2" t="str">
        <f>LOOKUP(DAYS360(DATE(YEAR(A17),1,0),A17), {0,81,171,263,352}, {"Winter","Spring","Summer","Autumn","Winter"})</f>
        <v>Winter</v>
      </c>
      <c r="I17" s="2">
        <f t="shared" si="5"/>
        <v>2023</v>
      </c>
      <c r="J17" s="2" t="s">
        <v>446</v>
      </c>
      <c r="K17" s="2" t="s">
        <v>737</v>
      </c>
      <c r="L17" s="2">
        <v>8</v>
      </c>
      <c r="M17" s="2">
        <v>17</v>
      </c>
    </row>
    <row r="18" spans="1:13" x14ac:dyDescent="0.35">
      <c r="A18" s="3">
        <v>44943</v>
      </c>
      <c r="B18" s="2" t="s">
        <v>42</v>
      </c>
      <c r="C18" s="2">
        <f t="shared" si="0"/>
        <v>3</v>
      </c>
      <c r="D18" s="2" t="str">
        <f t="shared" si="1"/>
        <v>Workday</v>
      </c>
      <c r="E18" s="2">
        <f t="shared" si="2"/>
        <v>1</v>
      </c>
      <c r="F18" s="2" t="str">
        <f t="shared" si="3"/>
        <v>First</v>
      </c>
      <c r="G18" s="2" t="str">
        <f t="shared" si="4"/>
        <v>First</v>
      </c>
      <c r="H18" s="2" t="str">
        <f>LOOKUP(DAYS360(DATE(YEAR(A18),1,0),A18), {0,81,171,263,352}, {"Winter","Spring","Summer","Autumn","Winter"})</f>
        <v>Winter</v>
      </c>
      <c r="I18" s="2">
        <f t="shared" si="5"/>
        <v>2023</v>
      </c>
      <c r="J18" s="2" t="s">
        <v>447</v>
      </c>
      <c r="K18" s="2" t="s">
        <v>737</v>
      </c>
      <c r="L18" s="2">
        <v>18</v>
      </c>
      <c r="M18" s="2">
        <v>18</v>
      </c>
    </row>
    <row r="19" spans="1:13" x14ac:dyDescent="0.35">
      <c r="A19" s="3">
        <v>44944</v>
      </c>
      <c r="B19" s="2" t="s">
        <v>43</v>
      </c>
      <c r="C19" s="2">
        <f t="shared" si="0"/>
        <v>4</v>
      </c>
      <c r="D19" s="2" t="str">
        <f t="shared" si="1"/>
        <v>Workday</v>
      </c>
      <c r="E19" s="2">
        <f t="shared" si="2"/>
        <v>1</v>
      </c>
      <c r="F19" s="2" t="str">
        <f t="shared" si="3"/>
        <v>First</v>
      </c>
      <c r="G19" s="2" t="str">
        <f t="shared" si="4"/>
        <v>First</v>
      </c>
      <c r="H19" s="2" t="str">
        <f>LOOKUP(DAYS360(DATE(YEAR(A19),1,0),A19), {0,81,171,263,352}, {"Winter","Spring","Summer","Autumn","Winter"})</f>
        <v>Winter</v>
      </c>
      <c r="I19" s="2">
        <f t="shared" si="5"/>
        <v>2023</v>
      </c>
      <c r="J19" s="2" t="s">
        <v>448</v>
      </c>
      <c r="K19" s="2" t="s">
        <v>737</v>
      </c>
      <c r="L19" s="2">
        <v>12</v>
      </c>
      <c r="M19" s="2">
        <v>4</v>
      </c>
    </row>
    <row r="20" spans="1:13" x14ac:dyDescent="0.35">
      <c r="A20" s="3">
        <v>44945</v>
      </c>
      <c r="B20" s="2" t="s">
        <v>44</v>
      </c>
      <c r="C20" s="2">
        <f t="shared" si="0"/>
        <v>5</v>
      </c>
      <c r="D20" s="2" t="str">
        <f t="shared" si="1"/>
        <v>Workday</v>
      </c>
      <c r="E20" s="2">
        <f t="shared" si="2"/>
        <v>1</v>
      </c>
      <c r="F20" s="2" t="str">
        <f t="shared" si="3"/>
        <v>First</v>
      </c>
      <c r="G20" s="2" t="str">
        <f t="shared" si="4"/>
        <v>First</v>
      </c>
      <c r="H20" s="2" t="str">
        <f>LOOKUP(DAYS360(DATE(YEAR(A20),1,0),A20), {0,81,171,263,352}, {"Winter","Spring","Summer","Autumn","Winter"})</f>
        <v>Winter</v>
      </c>
      <c r="I20" s="2">
        <f t="shared" si="5"/>
        <v>2023</v>
      </c>
      <c r="J20" s="2" t="s">
        <v>449</v>
      </c>
      <c r="K20" s="2" t="s">
        <v>737</v>
      </c>
      <c r="L20" s="2">
        <v>2</v>
      </c>
      <c r="M20" s="2">
        <v>8</v>
      </c>
    </row>
    <row r="21" spans="1:13" x14ac:dyDescent="0.35">
      <c r="A21" s="3">
        <v>44946</v>
      </c>
      <c r="B21" s="2" t="s">
        <v>45</v>
      </c>
      <c r="C21" s="2">
        <f t="shared" si="0"/>
        <v>6</v>
      </c>
      <c r="D21" s="2" t="str">
        <f t="shared" si="1"/>
        <v>Weekend</v>
      </c>
      <c r="E21" s="2">
        <f t="shared" si="2"/>
        <v>1</v>
      </c>
      <c r="F21" s="2" t="str">
        <f t="shared" si="3"/>
        <v>First</v>
      </c>
      <c r="G21" s="2" t="str">
        <f t="shared" si="4"/>
        <v>First</v>
      </c>
      <c r="H21" s="2" t="str">
        <f>LOOKUP(DAYS360(DATE(YEAR(A21),1,0),A21), {0,81,171,263,352}, {"Winter","Spring","Summer","Autumn","Winter"})</f>
        <v>Winter</v>
      </c>
      <c r="I21" s="2">
        <f t="shared" si="5"/>
        <v>2023</v>
      </c>
      <c r="J21" s="2" t="s">
        <v>450</v>
      </c>
      <c r="K21" s="2" t="s">
        <v>737</v>
      </c>
      <c r="L21" s="2">
        <v>17</v>
      </c>
      <c r="M21" s="2">
        <v>15</v>
      </c>
    </row>
    <row r="22" spans="1:13" x14ac:dyDescent="0.35">
      <c r="A22" s="3">
        <v>44947</v>
      </c>
      <c r="B22" s="2" t="s">
        <v>46</v>
      </c>
      <c r="C22" s="2">
        <f t="shared" si="0"/>
        <v>7</v>
      </c>
      <c r="D22" s="2" t="str">
        <f t="shared" si="1"/>
        <v>Weekend</v>
      </c>
      <c r="E22" s="2">
        <f t="shared" si="2"/>
        <v>1</v>
      </c>
      <c r="F22" s="2" t="str">
        <f t="shared" si="3"/>
        <v>First</v>
      </c>
      <c r="G22" s="2" t="str">
        <f t="shared" si="4"/>
        <v>First</v>
      </c>
      <c r="H22" s="2" t="str">
        <f>LOOKUP(DAYS360(DATE(YEAR(A22),1,0),A22), {0,81,171,263,352}, {"Winter","Spring","Summer","Autumn","Winter"})</f>
        <v>Winter</v>
      </c>
      <c r="I22" s="2">
        <f t="shared" si="5"/>
        <v>2023</v>
      </c>
      <c r="J22" s="2" t="s">
        <v>451</v>
      </c>
      <c r="K22" s="2" t="s">
        <v>737</v>
      </c>
      <c r="L22" s="2">
        <v>16</v>
      </c>
      <c r="M22" s="2">
        <v>17</v>
      </c>
    </row>
    <row r="23" spans="1:13" x14ac:dyDescent="0.35">
      <c r="A23" s="3">
        <v>44948</v>
      </c>
      <c r="B23" s="2" t="s">
        <v>47</v>
      </c>
      <c r="C23" s="2">
        <f t="shared" si="0"/>
        <v>1</v>
      </c>
      <c r="D23" s="2" t="str">
        <f t="shared" si="1"/>
        <v>Workday</v>
      </c>
      <c r="E23" s="2">
        <f t="shared" si="2"/>
        <v>1</v>
      </c>
      <c r="F23" s="2" t="str">
        <f t="shared" si="3"/>
        <v>First</v>
      </c>
      <c r="G23" s="2" t="str">
        <f t="shared" si="4"/>
        <v>First</v>
      </c>
      <c r="H23" s="2" t="str">
        <f>LOOKUP(DAYS360(DATE(YEAR(A23),1,0),A23), {0,81,171,263,352}, {"Winter","Spring","Summer","Autumn","Winter"})</f>
        <v>Winter</v>
      </c>
      <c r="I23" s="2">
        <f t="shared" si="5"/>
        <v>2023</v>
      </c>
      <c r="J23" s="2" t="s">
        <v>452</v>
      </c>
      <c r="K23" s="2" t="s">
        <v>737</v>
      </c>
      <c r="L23" s="2">
        <v>2</v>
      </c>
      <c r="M23" s="2">
        <v>19</v>
      </c>
    </row>
    <row r="24" spans="1:13" x14ac:dyDescent="0.35">
      <c r="A24" s="3">
        <v>44949</v>
      </c>
      <c r="B24" s="2" t="s">
        <v>48</v>
      </c>
      <c r="C24" s="2">
        <f t="shared" si="0"/>
        <v>2</v>
      </c>
      <c r="D24" s="2" t="str">
        <f t="shared" si="1"/>
        <v>Workday</v>
      </c>
      <c r="E24" s="2">
        <f t="shared" si="2"/>
        <v>1</v>
      </c>
      <c r="F24" s="2" t="str">
        <f t="shared" si="3"/>
        <v>First</v>
      </c>
      <c r="G24" s="2" t="str">
        <f t="shared" si="4"/>
        <v>First</v>
      </c>
      <c r="H24" s="2" t="str">
        <f>LOOKUP(DAYS360(DATE(YEAR(A24),1,0),A24), {0,81,171,263,352}, {"Winter","Spring","Summer","Autumn","Winter"})</f>
        <v>Winter</v>
      </c>
      <c r="I24" s="2">
        <f t="shared" si="5"/>
        <v>2023</v>
      </c>
      <c r="J24" s="2" t="s">
        <v>453</v>
      </c>
      <c r="K24" s="2" t="s">
        <v>737</v>
      </c>
      <c r="L24" s="2">
        <v>4</v>
      </c>
      <c r="M24" s="2">
        <v>7</v>
      </c>
    </row>
    <row r="25" spans="1:13" x14ac:dyDescent="0.35">
      <c r="A25" s="3">
        <v>44950</v>
      </c>
      <c r="B25" s="2" t="s">
        <v>49</v>
      </c>
      <c r="C25" s="2">
        <f t="shared" si="0"/>
        <v>3</v>
      </c>
      <c r="D25" s="2" t="str">
        <f t="shared" si="1"/>
        <v>Workday</v>
      </c>
      <c r="E25" s="2">
        <f t="shared" si="2"/>
        <v>1</v>
      </c>
      <c r="F25" s="2" t="str">
        <f t="shared" si="3"/>
        <v>First</v>
      </c>
      <c r="G25" s="2" t="str">
        <f t="shared" si="4"/>
        <v>First</v>
      </c>
      <c r="H25" s="2" t="str">
        <f>LOOKUP(DAYS360(DATE(YEAR(A25),1,0),A25), {0,81,171,263,352}, {"Winter","Spring","Summer","Autumn","Winter"})</f>
        <v>Winter</v>
      </c>
      <c r="I25" s="2">
        <f t="shared" si="5"/>
        <v>2023</v>
      </c>
      <c r="J25" s="2" t="s">
        <v>454</v>
      </c>
      <c r="K25" s="2" t="s">
        <v>737</v>
      </c>
      <c r="L25" s="2">
        <v>6</v>
      </c>
      <c r="M25" s="2">
        <v>6</v>
      </c>
    </row>
    <row r="26" spans="1:13" x14ac:dyDescent="0.35">
      <c r="A26" s="3">
        <v>44951</v>
      </c>
      <c r="B26" s="2" t="s">
        <v>21</v>
      </c>
      <c r="C26" s="2">
        <f t="shared" si="0"/>
        <v>4</v>
      </c>
      <c r="D26" s="2" t="str">
        <f t="shared" si="1"/>
        <v>Workday</v>
      </c>
      <c r="E26" s="2">
        <f t="shared" si="2"/>
        <v>1</v>
      </c>
      <c r="F26" s="2" t="str">
        <f t="shared" si="3"/>
        <v>First</v>
      </c>
      <c r="G26" s="2" t="str">
        <f t="shared" si="4"/>
        <v>First</v>
      </c>
      <c r="H26" s="2" t="str">
        <f>LOOKUP(DAYS360(DATE(YEAR(A26),1,0),A26), {0,81,171,263,352}, {"Winter","Spring","Summer","Autumn","Winter"})</f>
        <v>Winter</v>
      </c>
      <c r="I26" s="2">
        <f t="shared" si="5"/>
        <v>2023</v>
      </c>
      <c r="J26" s="2" t="s">
        <v>424</v>
      </c>
      <c r="K26" s="2" t="s">
        <v>737</v>
      </c>
      <c r="L26" s="2">
        <v>9</v>
      </c>
      <c r="M26" s="2">
        <v>19</v>
      </c>
    </row>
    <row r="27" spans="1:13" x14ac:dyDescent="0.35">
      <c r="A27" s="3">
        <v>44952</v>
      </c>
      <c r="B27" s="2" t="s">
        <v>50</v>
      </c>
      <c r="C27" s="2">
        <f t="shared" si="0"/>
        <v>5</v>
      </c>
      <c r="D27" s="2" t="str">
        <f t="shared" si="1"/>
        <v>Workday</v>
      </c>
      <c r="E27" s="2">
        <f t="shared" si="2"/>
        <v>1</v>
      </c>
      <c r="F27" s="2" t="str">
        <f t="shared" si="3"/>
        <v>First</v>
      </c>
      <c r="G27" s="2" t="str">
        <f t="shared" si="4"/>
        <v>First</v>
      </c>
      <c r="H27" s="2" t="str">
        <f>LOOKUP(DAYS360(DATE(YEAR(A27),1,0),A27), {0,81,171,263,352}, {"Winter","Spring","Summer","Autumn","Winter"})</f>
        <v>Winter</v>
      </c>
      <c r="I27" s="2">
        <f t="shared" si="5"/>
        <v>2023</v>
      </c>
      <c r="J27" s="2" t="s">
        <v>455</v>
      </c>
      <c r="K27" s="2" t="s">
        <v>737</v>
      </c>
      <c r="L27" s="2">
        <v>1</v>
      </c>
      <c r="M27" s="2">
        <v>16</v>
      </c>
    </row>
    <row r="28" spans="1:13" x14ac:dyDescent="0.35">
      <c r="A28" s="3">
        <v>44953</v>
      </c>
      <c r="B28" s="2" t="s">
        <v>51</v>
      </c>
      <c r="C28" s="2">
        <f t="shared" si="0"/>
        <v>6</v>
      </c>
      <c r="D28" s="2" t="str">
        <f t="shared" si="1"/>
        <v>Weekend</v>
      </c>
      <c r="E28" s="2">
        <f t="shared" si="2"/>
        <v>1</v>
      </c>
      <c r="F28" s="2" t="str">
        <f t="shared" si="3"/>
        <v>First</v>
      </c>
      <c r="G28" s="2" t="str">
        <f t="shared" si="4"/>
        <v>First</v>
      </c>
      <c r="H28" s="2" t="str">
        <f>LOOKUP(DAYS360(DATE(YEAR(A28),1,0),A28), {0,81,171,263,352}, {"Winter","Spring","Summer","Autumn","Winter"})</f>
        <v>Winter</v>
      </c>
      <c r="I28" s="2">
        <f t="shared" si="5"/>
        <v>2023</v>
      </c>
      <c r="J28" s="2" t="s">
        <v>418</v>
      </c>
      <c r="K28" s="2" t="s">
        <v>737</v>
      </c>
      <c r="L28" s="2">
        <v>18</v>
      </c>
      <c r="M28" s="2">
        <v>18</v>
      </c>
    </row>
    <row r="29" spans="1:13" x14ac:dyDescent="0.35">
      <c r="A29" s="3">
        <v>44954</v>
      </c>
      <c r="B29" s="2" t="s">
        <v>52</v>
      </c>
      <c r="C29" s="2">
        <f t="shared" si="0"/>
        <v>7</v>
      </c>
      <c r="D29" s="2" t="str">
        <f t="shared" si="1"/>
        <v>Weekend</v>
      </c>
      <c r="E29" s="2">
        <f t="shared" si="2"/>
        <v>1</v>
      </c>
      <c r="F29" s="2" t="str">
        <f t="shared" si="3"/>
        <v>First</v>
      </c>
      <c r="G29" s="2" t="str">
        <f t="shared" si="4"/>
        <v>First</v>
      </c>
      <c r="H29" s="2" t="str">
        <f>LOOKUP(DAYS360(DATE(YEAR(A29),1,0),A29), {0,81,171,263,352}, {"Winter","Spring","Summer","Autumn","Winter"})</f>
        <v>Winter</v>
      </c>
      <c r="I29" s="2">
        <f t="shared" si="5"/>
        <v>2023</v>
      </c>
      <c r="J29" s="2" t="s">
        <v>456</v>
      </c>
      <c r="K29" s="2" t="s">
        <v>737</v>
      </c>
      <c r="L29" s="2">
        <v>12</v>
      </c>
      <c r="M29" s="2">
        <v>10</v>
      </c>
    </row>
    <row r="30" spans="1:13" x14ac:dyDescent="0.35">
      <c r="A30" s="3">
        <v>44955</v>
      </c>
      <c r="B30" s="2" t="s">
        <v>53</v>
      </c>
      <c r="C30" s="2">
        <f t="shared" si="0"/>
        <v>1</v>
      </c>
      <c r="D30" s="2" t="str">
        <f t="shared" si="1"/>
        <v>Workday</v>
      </c>
      <c r="E30" s="2">
        <f t="shared" si="2"/>
        <v>1</v>
      </c>
      <c r="F30" s="2" t="str">
        <f t="shared" si="3"/>
        <v>First</v>
      </c>
      <c r="G30" s="2" t="str">
        <f t="shared" si="4"/>
        <v>First</v>
      </c>
      <c r="H30" s="2" t="str">
        <f>LOOKUP(DAYS360(DATE(YEAR(A30),1,0),A30), {0,81,171,263,352}, {"Winter","Spring","Summer","Autumn","Winter"})</f>
        <v>Winter</v>
      </c>
      <c r="I30" s="2">
        <f t="shared" si="5"/>
        <v>2023</v>
      </c>
      <c r="J30" s="2" t="s">
        <v>457</v>
      </c>
      <c r="K30" s="2" t="s">
        <v>737</v>
      </c>
      <c r="L30" s="2">
        <v>1</v>
      </c>
      <c r="M30" s="2">
        <v>1</v>
      </c>
    </row>
    <row r="31" spans="1:13" x14ac:dyDescent="0.35">
      <c r="A31" s="3">
        <v>44956</v>
      </c>
      <c r="B31" s="2" t="s">
        <v>54</v>
      </c>
      <c r="C31" s="2">
        <f t="shared" si="0"/>
        <v>2</v>
      </c>
      <c r="D31" s="2" t="str">
        <f t="shared" si="1"/>
        <v>Workday</v>
      </c>
      <c r="E31" s="2">
        <f t="shared" si="2"/>
        <v>1</v>
      </c>
      <c r="F31" s="2" t="str">
        <f t="shared" si="3"/>
        <v>First</v>
      </c>
      <c r="G31" s="2" t="str">
        <f t="shared" si="4"/>
        <v>First</v>
      </c>
      <c r="H31" s="2" t="str">
        <f>LOOKUP(DAYS360(DATE(YEAR(A31),1,0),A31), {0,81,171,263,352}, {"Winter","Spring","Summer","Autumn","Winter"})</f>
        <v>Winter</v>
      </c>
      <c r="I31" s="2">
        <f t="shared" si="5"/>
        <v>2023</v>
      </c>
      <c r="J31" s="2" t="s">
        <v>458</v>
      </c>
      <c r="K31" s="2" t="s">
        <v>737</v>
      </c>
      <c r="L31" s="2">
        <v>17</v>
      </c>
      <c r="M31" s="2">
        <v>8</v>
      </c>
    </row>
    <row r="32" spans="1:13" x14ac:dyDescent="0.35">
      <c r="A32" s="3">
        <v>44957</v>
      </c>
      <c r="B32" s="2" t="s">
        <v>55</v>
      </c>
      <c r="C32" s="2">
        <f t="shared" si="0"/>
        <v>3</v>
      </c>
      <c r="D32" s="2" t="str">
        <f t="shared" si="1"/>
        <v>Workday</v>
      </c>
      <c r="E32" s="2">
        <f t="shared" si="2"/>
        <v>1</v>
      </c>
      <c r="F32" s="2" t="str">
        <f t="shared" si="3"/>
        <v>First</v>
      </c>
      <c r="G32" s="2" t="str">
        <f t="shared" si="4"/>
        <v>First</v>
      </c>
      <c r="H32" s="2" t="str">
        <f>LOOKUP(DAYS360(DATE(YEAR(A32),1,0),A32), {0,81,171,263,352}, {"Winter","Spring","Summer","Autumn","Winter"})</f>
        <v>Winter</v>
      </c>
      <c r="I32" s="2">
        <f t="shared" si="5"/>
        <v>2023</v>
      </c>
      <c r="J32" s="2" t="s">
        <v>459</v>
      </c>
      <c r="K32" s="2" t="s">
        <v>737</v>
      </c>
      <c r="L32" s="2">
        <v>18</v>
      </c>
      <c r="M32" s="2">
        <v>4</v>
      </c>
    </row>
    <row r="33" spans="1:13" x14ac:dyDescent="0.35">
      <c r="A33" s="3">
        <v>44958</v>
      </c>
      <c r="B33" s="2" t="s">
        <v>56</v>
      </c>
      <c r="C33" s="2">
        <f t="shared" si="0"/>
        <v>4</v>
      </c>
      <c r="D33" s="2" t="str">
        <f t="shared" ref="D33:D96" si="6">IF(C33&lt;6,"Workday","Weekend")</f>
        <v>Workday</v>
      </c>
      <c r="E33" s="2">
        <f t="shared" si="2"/>
        <v>2</v>
      </c>
      <c r="F33" s="2" t="str">
        <f t="shared" ref="F33:F96" si="7">IF(E33&lt;4,"First",IF(AND(E33&gt;3,E33&lt;7),"Second",IF(AND(E33&gt;6,E33&lt;10),"Third",IF(E33&gt;9,"Fourth",0))))</f>
        <v>First</v>
      </c>
      <c r="G33" s="2" t="str">
        <f t="shared" ref="G33:G96" si="8">IF(E33&lt;7,"First","Second")</f>
        <v>First</v>
      </c>
      <c r="H33" s="2" t="str">
        <f>LOOKUP(DAYS360(DATE(YEAR(A33),1,0),A33), {0,81,171,263,352}, {"Winter","Spring","Summer","Autumn","Winter"})</f>
        <v>Winter</v>
      </c>
      <c r="I33" s="2">
        <f t="shared" si="5"/>
        <v>2023</v>
      </c>
      <c r="J33" s="2" t="s">
        <v>460</v>
      </c>
      <c r="K33" s="2" t="s">
        <v>738</v>
      </c>
      <c r="L33" s="2">
        <v>6</v>
      </c>
      <c r="M33" s="2">
        <v>4</v>
      </c>
    </row>
    <row r="34" spans="1:13" x14ac:dyDescent="0.35">
      <c r="A34" s="3">
        <v>44959</v>
      </c>
      <c r="B34" s="2" t="s">
        <v>57</v>
      </c>
      <c r="C34" s="2">
        <f t="shared" si="0"/>
        <v>5</v>
      </c>
      <c r="D34" s="2" t="str">
        <f t="shared" si="6"/>
        <v>Workday</v>
      </c>
      <c r="E34" s="2">
        <f t="shared" si="2"/>
        <v>2</v>
      </c>
      <c r="F34" s="2" t="str">
        <f t="shared" si="7"/>
        <v>First</v>
      </c>
      <c r="G34" s="2" t="str">
        <f t="shared" si="8"/>
        <v>First</v>
      </c>
      <c r="H34" s="2" t="str">
        <f>LOOKUP(DAYS360(DATE(YEAR(A34),1,0),A34), {0,81,171,263,352}, {"Winter","Spring","Summer","Autumn","Winter"})</f>
        <v>Winter</v>
      </c>
      <c r="I34" s="2">
        <f t="shared" si="5"/>
        <v>2023</v>
      </c>
      <c r="J34" s="2" t="s">
        <v>461</v>
      </c>
      <c r="K34" s="2" t="s">
        <v>738</v>
      </c>
      <c r="L34" s="2">
        <v>14</v>
      </c>
      <c r="M34" s="2">
        <v>12</v>
      </c>
    </row>
    <row r="35" spans="1:13" x14ac:dyDescent="0.35">
      <c r="A35" s="3">
        <v>44960</v>
      </c>
      <c r="B35" s="2" t="s">
        <v>58</v>
      </c>
      <c r="C35" s="2">
        <f t="shared" si="0"/>
        <v>6</v>
      </c>
      <c r="D35" s="2" t="str">
        <f t="shared" si="6"/>
        <v>Weekend</v>
      </c>
      <c r="E35" s="2">
        <f t="shared" si="2"/>
        <v>2</v>
      </c>
      <c r="F35" s="2" t="str">
        <f t="shared" si="7"/>
        <v>First</v>
      </c>
      <c r="G35" s="2" t="str">
        <f t="shared" si="8"/>
        <v>First</v>
      </c>
      <c r="H35" s="2" t="str">
        <f>LOOKUP(DAYS360(DATE(YEAR(A35),1,0),A35), {0,81,171,263,352}, {"Winter","Spring","Summer","Autumn","Winter"})</f>
        <v>Winter</v>
      </c>
      <c r="I35" s="2">
        <f t="shared" si="5"/>
        <v>2023</v>
      </c>
      <c r="J35" s="2" t="s">
        <v>462</v>
      </c>
      <c r="K35" s="2" t="s">
        <v>738</v>
      </c>
      <c r="L35" s="2">
        <v>9</v>
      </c>
      <c r="M35" s="2">
        <v>18</v>
      </c>
    </row>
    <row r="36" spans="1:13" x14ac:dyDescent="0.35">
      <c r="A36" s="3">
        <v>44961</v>
      </c>
      <c r="B36" s="2" t="s">
        <v>59</v>
      </c>
      <c r="C36" s="2">
        <f t="shared" si="0"/>
        <v>7</v>
      </c>
      <c r="D36" s="2" t="str">
        <f t="shared" si="6"/>
        <v>Weekend</v>
      </c>
      <c r="E36" s="2">
        <f t="shared" si="2"/>
        <v>2</v>
      </c>
      <c r="F36" s="2" t="str">
        <f t="shared" si="7"/>
        <v>First</v>
      </c>
      <c r="G36" s="2" t="str">
        <f t="shared" si="8"/>
        <v>First</v>
      </c>
      <c r="H36" s="2" t="str">
        <f>LOOKUP(DAYS360(DATE(YEAR(A36),1,0),A36), {0,81,171,263,352}, {"Winter","Spring","Summer","Autumn","Winter"})</f>
        <v>Winter</v>
      </c>
      <c r="I36" s="2">
        <f t="shared" si="5"/>
        <v>2023</v>
      </c>
      <c r="J36" s="2" t="s">
        <v>463</v>
      </c>
      <c r="K36" s="2" t="s">
        <v>738</v>
      </c>
      <c r="L36" s="2">
        <v>19</v>
      </c>
      <c r="M36" s="2">
        <v>16</v>
      </c>
    </row>
    <row r="37" spans="1:13" x14ac:dyDescent="0.35">
      <c r="A37" s="3">
        <v>44962</v>
      </c>
      <c r="B37" s="2" t="s">
        <v>60</v>
      </c>
      <c r="C37" s="2">
        <f t="shared" si="0"/>
        <v>1</v>
      </c>
      <c r="D37" s="2" t="str">
        <f t="shared" si="6"/>
        <v>Workday</v>
      </c>
      <c r="E37" s="2">
        <f t="shared" si="2"/>
        <v>2</v>
      </c>
      <c r="F37" s="2" t="str">
        <f t="shared" si="7"/>
        <v>First</v>
      </c>
      <c r="G37" s="2" t="str">
        <f t="shared" si="8"/>
        <v>First</v>
      </c>
      <c r="H37" s="2" t="str">
        <f>LOOKUP(DAYS360(DATE(YEAR(A37),1,0),A37), {0,81,171,263,352}, {"Winter","Spring","Summer","Autumn","Winter"})</f>
        <v>Winter</v>
      </c>
      <c r="I37" s="2">
        <f t="shared" si="5"/>
        <v>2023</v>
      </c>
      <c r="J37" s="2" t="s">
        <v>464</v>
      </c>
      <c r="K37" s="2" t="s">
        <v>738</v>
      </c>
      <c r="L37" s="2">
        <v>13</v>
      </c>
      <c r="M37" s="2">
        <v>17</v>
      </c>
    </row>
    <row r="38" spans="1:13" x14ac:dyDescent="0.35">
      <c r="A38" s="3">
        <v>44963</v>
      </c>
      <c r="B38" s="2" t="s">
        <v>61</v>
      </c>
      <c r="C38" s="2">
        <f t="shared" si="0"/>
        <v>2</v>
      </c>
      <c r="D38" s="2" t="str">
        <f t="shared" si="6"/>
        <v>Workday</v>
      </c>
      <c r="E38" s="2">
        <f t="shared" si="2"/>
        <v>2</v>
      </c>
      <c r="F38" s="2" t="str">
        <f t="shared" si="7"/>
        <v>First</v>
      </c>
      <c r="G38" s="2" t="str">
        <f t="shared" si="8"/>
        <v>First</v>
      </c>
      <c r="H38" s="2" t="str">
        <f>LOOKUP(DAYS360(DATE(YEAR(A38),1,0),A38), {0,81,171,263,352}, {"Winter","Spring","Summer","Autumn","Winter"})</f>
        <v>Winter</v>
      </c>
      <c r="I38" s="2">
        <f t="shared" si="5"/>
        <v>2023</v>
      </c>
      <c r="J38" s="2" t="s">
        <v>465</v>
      </c>
      <c r="K38" s="2" t="s">
        <v>738</v>
      </c>
      <c r="L38" s="2">
        <v>9</v>
      </c>
      <c r="M38" s="2">
        <v>19</v>
      </c>
    </row>
    <row r="39" spans="1:13" x14ac:dyDescent="0.35">
      <c r="A39" s="3">
        <v>44964</v>
      </c>
      <c r="B39" s="2" t="s">
        <v>62</v>
      </c>
      <c r="C39" s="2">
        <f t="shared" si="0"/>
        <v>3</v>
      </c>
      <c r="D39" s="2" t="str">
        <f t="shared" si="6"/>
        <v>Workday</v>
      </c>
      <c r="E39" s="2">
        <f t="shared" si="2"/>
        <v>2</v>
      </c>
      <c r="F39" s="2" t="str">
        <f t="shared" si="7"/>
        <v>First</v>
      </c>
      <c r="G39" s="2" t="str">
        <f t="shared" si="8"/>
        <v>First</v>
      </c>
      <c r="H39" s="2" t="str">
        <f>LOOKUP(DAYS360(DATE(YEAR(A39),1,0),A39), {0,81,171,263,352}, {"Winter","Spring","Summer","Autumn","Winter"})</f>
        <v>Winter</v>
      </c>
      <c r="I39" s="2">
        <f t="shared" si="5"/>
        <v>2023</v>
      </c>
      <c r="J39" s="2" t="s">
        <v>466</v>
      </c>
      <c r="K39" s="2" t="s">
        <v>738</v>
      </c>
      <c r="L39" s="2">
        <v>13</v>
      </c>
      <c r="M39" s="2">
        <v>11</v>
      </c>
    </row>
    <row r="40" spans="1:13" x14ac:dyDescent="0.35">
      <c r="A40" s="3">
        <v>44965</v>
      </c>
      <c r="B40" s="2" t="s">
        <v>63</v>
      </c>
      <c r="C40" s="2">
        <f t="shared" si="0"/>
        <v>4</v>
      </c>
      <c r="D40" s="2" t="str">
        <f t="shared" si="6"/>
        <v>Workday</v>
      </c>
      <c r="E40" s="2">
        <f t="shared" si="2"/>
        <v>2</v>
      </c>
      <c r="F40" s="2" t="str">
        <f t="shared" si="7"/>
        <v>First</v>
      </c>
      <c r="G40" s="2" t="str">
        <f t="shared" si="8"/>
        <v>First</v>
      </c>
      <c r="H40" s="2" t="str">
        <f>LOOKUP(DAYS360(DATE(YEAR(A40),1,0),A40), {0,81,171,263,352}, {"Winter","Spring","Summer","Autumn","Winter"})</f>
        <v>Winter</v>
      </c>
      <c r="I40" s="2">
        <f t="shared" si="5"/>
        <v>2023</v>
      </c>
      <c r="J40" s="2" t="s">
        <v>467</v>
      </c>
      <c r="K40" s="2" t="s">
        <v>738</v>
      </c>
      <c r="L40" s="2">
        <v>16</v>
      </c>
      <c r="M40" s="2">
        <v>4</v>
      </c>
    </row>
    <row r="41" spans="1:13" x14ac:dyDescent="0.35">
      <c r="A41" s="3">
        <v>44966</v>
      </c>
      <c r="B41" s="2" t="s">
        <v>64</v>
      </c>
      <c r="C41" s="2">
        <f t="shared" si="0"/>
        <v>5</v>
      </c>
      <c r="D41" s="2" t="str">
        <f t="shared" si="6"/>
        <v>Workday</v>
      </c>
      <c r="E41" s="2">
        <f t="shared" si="2"/>
        <v>2</v>
      </c>
      <c r="F41" s="2" t="str">
        <f t="shared" si="7"/>
        <v>First</v>
      </c>
      <c r="G41" s="2" t="str">
        <f t="shared" si="8"/>
        <v>First</v>
      </c>
      <c r="H41" s="2" t="str">
        <f>LOOKUP(DAYS360(DATE(YEAR(A41),1,0),A41), {0,81,171,263,352}, {"Winter","Spring","Summer","Autumn","Winter"})</f>
        <v>Winter</v>
      </c>
      <c r="I41" s="2">
        <f t="shared" si="5"/>
        <v>2023</v>
      </c>
      <c r="J41" s="2" t="s">
        <v>468</v>
      </c>
      <c r="K41" s="2" t="s">
        <v>738</v>
      </c>
      <c r="L41" s="2">
        <v>9</v>
      </c>
      <c r="M41" s="2">
        <v>14</v>
      </c>
    </row>
    <row r="42" spans="1:13" x14ac:dyDescent="0.35">
      <c r="A42" s="3">
        <v>44967</v>
      </c>
      <c r="B42" s="2" t="s">
        <v>65</v>
      </c>
      <c r="C42" s="2">
        <f t="shared" si="0"/>
        <v>6</v>
      </c>
      <c r="D42" s="2" t="str">
        <f t="shared" si="6"/>
        <v>Weekend</v>
      </c>
      <c r="E42" s="2">
        <f t="shared" si="2"/>
        <v>2</v>
      </c>
      <c r="F42" s="2" t="str">
        <f t="shared" si="7"/>
        <v>First</v>
      </c>
      <c r="G42" s="2" t="str">
        <f t="shared" si="8"/>
        <v>First</v>
      </c>
      <c r="H42" s="2" t="str">
        <f>LOOKUP(DAYS360(DATE(YEAR(A42),1,0),A42), {0,81,171,263,352}, {"Winter","Spring","Summer","Autumn","Winter"})</f>
        <v>Winter</v>
      </c>
      <c r="I42" s="2">
        <f t="shared" si="5"/>
        <v>2023</v>
      </c>
      <c r="J42" s="2" t="s">
        <v>469</v>
      </c>
      <c r="K42" s="2" t="s">
        <v>738</v>
      </c>
      <c r="L42" s="2">
        <v>7</v>
      </c>
      <c r="M42" s="2">
        <v>3</v>
      </c>
    </row>
    <row r="43" spans="1:13" x14ac:dyDescent="0.35">
      <c r="A43" s="3">
        <v>44968</v>
      </c>
      <c r="B43" s="2" t="s">
        <v>66</v>
      </c>
      <c r="C43" s="2">
        <f t="shared" si="0"/>
        <v>7</v>
      </c>
      <c r="D43" s="2" t="str">
        <f t="shared" si="6"/>
        <v>Weekend</v>
      </c>
      <c r="E43" s="2">
        <f t="shared" si="2"/>
        <v>2</v>
      </c>
      <c r="F43" s="2" t="str">
        <f t="shared" si="7"/>
        <v>First</v>
      </c>
      <c r="G43" s="2" t="str">
        <f t="shared" si="8"/>
        <v>First</v>
      </c>
      <c r="H43" s="2" t="str">
        <f>LOOKUP(DAYS360(DATE(YEAR(A43),1,0),A43), {0,81,171,263,352}, {"Winter","Spring","Summer","Autumn","Winter"})</f>
        <v>Winter</v>
      </c>
      <c r="I43" s="2">
        <f t="shared" si="5"/>
        <v>2023</v>
      </c>
      <c r="J43" s="2" t="s">
        <v>22</v>
      </c>
      <c r="K43" s="2" t="s">
        <v>738</v>
      </c>
      <c r="L43" s="2">
        <v>13</v>
      </c>
      <c r="M43" s="2">
        <v>5</v>
      </c>
    </row>
    <row r="44" spans="1:13" x14ac:dyDescent="0.35">
      <c r="A44" s="3">
        <v>44969</v>
      </c>
      <c r="B44" s="2" t="s">
        <v>67</v>
      </c>
      <c r="C44" s="2">
        <f t="shared" si="0"/>
        <v>1</v>
      </c>
      <c r="D44" s="2" t="str">
        <f t="shared" si="6"/>
        <v>Workday</v>
      </c>
      <c r="E44" s="2">
        <f t="shared" si="2"/>
        <v>2</v>
      </c>
      <c r="F44" s="2" t="str">
        <f t="shared" si="7"/>
        <v>First</v>
      </c>
      <c r="G44" s="2" t="str">
        <f t="shared" si="8"/>
        <v>First</v>
      </c>
      <c r="H44" s="2" t="str">
        <f>LOOKUP(DAYS360(DATE(YEAR(A44),1,0),A44), {0,81,171,263,352}, {"Winter","Spring","Summer","Autumn","Winter"})</f>
        <v>Winter</v>
      </c>
      <c r="I44" s="2">
        <f t="shared" si="5"/>
        <v>2023</v>
      </c>
      <c r="J44" s="2" t="s">
        <v>470</v>
      </c>
      <c r="K44" s="2" t="s">
        <v>738</v>
      </c>
      <c r="L44" s="2">
        <v>8</v>
      </c>
      <c r="M44" s="2">
        <v>13</v>
      </c>
    </row>
    <row r="45" spans="1:13" x14ac:dyDescent="0.35">
      <c r="A45" s="3">
        <v>44970</v>
      </c>
      <c r="B45" s="2" t="s">
        <v>68</v>
      </c>
      <c r="C45" s="2">
        <f t="shared" si="0"/>
        <v>2</v>
      </c>
      <c r="D45" s="2" t="str">
        <f t="shared" si="6"/>
        <v>Workday</v>
      </c>
      <c r="E45" s="2">
        <f t="shared" si="2"/>
        <v>2</v>
      </c>
      <c r="F45" s="2" t="str">
        <f t="shared" si="7"/>
        <v>First</v>
      </c>
      <c r="G45" s="2" t="str">
        <f t="shared" si="8"/>
        <v>First</v>
      </c>
      <c r="H45" s="2" t="str">
        <f>LOOKUP(DAYS360(DATE(YEAR(A45),1,0),A45), {0,81,171,263,352}, {"Winter","Spring","Summer","Autumn","Winter"})</f>
        <v>Winter</v>
      </c>
      <c r="I45" s="2">
        <f t="shared" si="5"/>
        <v>2023</v>
      </c>
      <c r="J45" s="2" t="s">
        <v>471</v>
      </c>
      <c r="K45" s="2" t="s">
        <v>738</v>
      </c>
      <c r="L45" s="2">
        <v>12</v>
      </c>
      <c r="M45" s="2">
        <v>7</v>
      </c>
    </row>
    <row r="46" spans="1:13" x14ac:dyDescent="0.35">
      <c r="A46" s="3">
        <v>44971</v>
      </c>
      <c r="B46" s="2" t="s">
        <v>69</v>
      </c>
      <c r="C46" s="2">
        <f t="shared" si="0"/>
        <v>3</v>
      </c>
      <c r="D46" s="2" t="str">
        <f t="shared" si="6"/>
        <v>Workday</v>
      </c>
      <c r="E46" s="2">
        <f t="shared" si="2"/>
        <v>2</v>
      </c>
      <c r="F46" s="2" t="str">
        <f t="shared" si="7"/>
        <v>First</v>
      </c>
      <c r="G46" s="2" t="str">
        <f t="shared" si="8"/>
        <v>First</v>
      </c>
      <c r="H46" s="2" t="str">
        <f>LOOKUP(DAYS360(DATE(YEAR(A46),1,0),A46), {0,81,171,263,352}, {"Winter","Spring","Summer","Autumn","Winter"})</f>
        <v>Winter</v>
      </c>
      <c r="I46" s="2">
        <f t="shared" si="5"/>
        <v>2023</v>
      </c>
      <c r="J46" s="2" t="s">
        <v>472</v>
      </c>
      <c r="K46" s="2" t="s">
        <v>738</v>
      </c>
      <c r="L46" s="2">
        <v>19</v>
      </c>
      <c r="M46" s="2">
        <v>4</v>
      </c>
    </row>
    <row r="47" spans="1:13" x14ac:dyDescent="0.35">
      <c r="A47" s="3">
        <v>44972</v>
      </c>
      <c r="B47" s="2" t="s">
        <v>70</v>
      </c>
      <c r="C47" s="2">
        <f t="shared" si="0"/>
        <v>4</v>
      </c>
      <c r="D47" s="2" t="str">
        <f t="shared" si="6"/>
        <v>Workday</v>
      </c>
      <c r="E47" s="2">
        <f t="shared" si="2"/>
        <v>2</v>
      </c>
      <c r="F47" s="2" t="str">
        <f t="shared" si="7"/>
        <v>First</v>
      </c>
      <c r="G47" s="2" t="str">
        <f t="shared" si="8"/>
        <v>First</v>
      </c>
      <c r="H47" s="2" t="str">
        <f>LOOKUP(DAYS360(DATE(YEAR(A47),1,0),A47), {0,81,171,263,352}, {"Winter","Spring","Summer","Autumn","Winter"})</f>
        <v>Winter</v>
      </c>
      <c r="I47" s="2">
        <f t="shared" si="5"/>
        <v>2023</v>
      </c>
      <c r="J47" s="2" t="s">
        <v>408</v>
      </c>
      <c r="K47" s="2" t="s">
        <v>738</v>
      </c>
      <c r="L47" s="2">
        <v>13</v>
      </c>
      <c r="M47" s="2">
        <v>9</v>
      </c>
    </row>
    <row r="48" spans="1:13" x14ac:dyDescent="0.35">
      <c r="A48" s="3">
        <v>44973</v>
      </c>
      <c r="B48" s="2" t="s">
        <v>71</v>
      </c>
      <c r="C48" s="2">
        <f t="shared" si="0"/>
        <v>5</v>
      </c>
      <c r="D48" s="2" t="str">
        <f t="shared" si="6"/>
        <v>Workday</v>
      </c>
      <c r="E48" s="2">
        <f t="shared" si="2"/>
        <v>2</v>
      </c>
      <c r="F48" s="2" t="str">
        <f t="shared" si="7"/>
        <v>First</v>
      </c>
      <c r="G48" s="2" t="str">
        <f t="shared" si="8"/>
        <v>First</v>
      </c>
      <c r="H48" s="2" t="str">
        <f>LOOKUP(DAYS360(DATE(YEAR(A48),1,0),A48), {0,81,171,263,352}, {"Winter","Spring","Summer","Autumn","Winter"})</f>
        <v>Winter</v>
      </c>
      <c r="I48" s="2">
        <f t="shared" si="5"/>
        <v>2023</v>
      </c>
      <c r="J48" s="2" t="s">
        <v>473</v>
      </c>
      <c r="K48" s="2" t="s">
        <v>738</v>
      </c>
      <c r="L48" s="2">
        <v>1</v>
      </c>
      <c r="M48" s="2">
        <v>10</v>
      </c>
    </row>
    <row r="49" spans="1:13" x14ac:dyDescent="0.35">
      <c r="A49" s="3">
        <v>44974</v>
      </c>
      <c r="B49" s="2" t="s">
        <v>72</v>
      </c>
      <c r="C49" s="2">
        <f t="shared" si="0"/>
        <v>6</v>
      </c>
      <c r="D49" s="2" t="str">
        <f t="shared" si="6"/>
        <v>Weekend</v>
      </c>
      <c r="E49" s="2">
        <f t="shared" si="2"/>
        <v>2</v>
      </c>
      <c r="F49" s="2" t="str">
        <f t="shared" si="7"/>
        <v>First</v>
      </c>
      <c r="G49" s="2" t="str">
        <f t="shared" si="8"/>
        <v>First</v>
      </c>
      <c r="H49" s="2" t="str">
        <f>LOOKUP(DAYS360(DATE(YEAR(A49),1,0),A49), {0,81,171,263,352}, {"Winter","Spring","Summer","Autumn","Winter"})</f>
        <v>Winter</v>
      </c>
      <c r="I49" s="2">
        <f t="shared" si="5"/>
        <v>2023</v>
      </c>
      <c r="J49" s="2" t="s">
        <v>474</v>
      </c>
      <c r="K49" s="2" t="s">
        <v>738</v>
      </c>
      <c r="L49" s="2">
        <v>2</v>
      </c>
      <c r="M49" s="2">
        <v>8</v>
      </c>
    </row>
    <row r="50" spans="1:13" x14ac:dyDescent="0.35">
      <c r="A50" s="3">
        <v>44975</v>
      </c>
      <c r="B50" s="2" t="s">
        <v>73</v>
      </c>
      <c r="C50" s="2">
        <f t="shared" si="0"/>
        <v>7</v>
      </c>
      <c r="D50" s="2" t="str">
        <f t="shared" si="6"/>
        <v>Weekend</v>
      </c>
      <c r="E50" s="2">
        <f t="shared" si="2"/>
        <v>2</v>
      </c>
      <c r="F50" s="2" t="str">
        <f t="shared" si="7"/>
        <v>First</v>
      </c>
      <c r="G50" s="2" t="str">
        <f t="shared" si="8"/>
        <v>First</v>
      </c>
      <c r="H50" s="2" t="str">
        <f>LOOKUP(DAYS360(DATE(YEAR(A50),1,0),A50), {0,81,171,263,352}, {"Winter","Spring","Summer","Autumn","Winter"})</f>
        <v>Winter</v>
      </c>
      <c r="I50" s="2">
        <f t="shared" si="5"/>
        <v>2023</v>
      </c>
      <c r="J50" s="2" t="s">
        <v>386</v>
      </c>
      <c r="K50" s="2" t="s">
        <v>738</v>
      </c>
      <c r="L50" s="2">
        <v>18</v>
      </c>
      <c r="M50" s="2">
        <v>20</v>
      </c>
    </row>
    <row r="51" spans="1:13" x14ac:dyDescent="0.35">
      <c r="A51" s="3">
        <v>44976</v>
      </c>
      <c r="B51" s="2" t="s">
        <v>74</v>
      </c>
      <c r="C51" s="2">
        <f t="shared" si="0"/>
        <v>1</v>
      </c>
      <c r="D51" s="2" t="str">
        <f t="shared" si="6"/>
        <v>Workday</v>
      </c>
      <c r="E51" s="2">
        <f t="shared" si="2"/>
        <v>2</v>
      </c>
      <c r="F51" s="2" t="str">
        <f t="shared" si="7"/>
        <v>First</v>
      </c>
      <c r="G51" s="2" t="str">
        <f t="shared" si="8"/>
        <v>First</v>
      </c>
      <c r="H51" s="2" t="str">
        <f>LOOKUP(DAYS360(DATE(YEAR(A51),1,0),A51), {0,81,171,263,352}, {"Winter","Spring","Summer","Autumn","Winter"})</f>
        <v>Winter</v>
      </c>
      <c r="I51" s="2">
        <f t="shared" si="5"/>
        <v>2023</v>
      </c>
      <c r="J51" s="2" t="s">
        <v>475</v>
      </c>
      <c r="K51" s="2" t="s">
        <v>738</v>
      </c>
      <c r="L51" s="2">
        <v>18</v>
      </c>
      <c r="M51" s="2">
        <v>10</v>
      </c>
    </row>
    <row r="52" spans="1:13" x14ac:dyDescent="0.35">
      <c r="A52" s="3">
        <v>44977</v>
      </c>
      <c r="B52" s="2" t="s">
        <v>75</v>
      </c>
      <c r="C52" s="2">
        <f t="shared" si="0"/>
        <v>2</v>
      </c>
      <c r="D52" s="2" t="str">
        <f t="shared" si="6"/>
        <v>Workday</v>
      </c>
      <c r="E52" s="2">
        <f t="shared" si="2"/>
        <v>2</v>
      </c>
      <c r="F52" s="2" t="str">
        <f t="shared" si="7"/>
        <v>First</v>
      </c>
      <c r="G52" s="2" t="str">
        <f t="shared" si="8"/>
        <v>First</v>
      </c>
      <c r="H52" s="2" t="str">
        <f>LOOKUP(DAYS360(DATE(YEAR(A52),1,0),A52), {0,81,171,263,352}, {"Winter","Spring","Summer","Autumn","Winter"})</f>
        <v>Winter</v>
      </c>
      <c r="I52" s="2">
        <f t="shared" si="5"/>
        <v>2023</v>
      </c>
      <c r="J52" s="2" t="s">
        <v>476</v>
      </c>
      <c r="K52" s="2" t="s">
        <v>738</v>
      </c>
      <c r="L52" s="2">
        <v>10</v>
      </c>
      <c r="M52" s="2">
        <v>10</v>
      </c>
    </row>
    <row r="53" spans="1:13" x14ac:dyDescent="0.35">
      <c r="A53" s="3">
        <v>44978</v>
      </c>
      <c r="B53" s="2" t="s">
        <v>76</v>
      </c>
      <c r="C53" s="2">
        <f t="shared" si="0"/>
        <v>3</v>
      </c>
      <c r="D53" s="2" t="str">
        <f t="shared" si="6"/>
        <v>Workday</v>
      </c>
      <c r="E53" s="2">
        <f t="shared" si="2"/>
        <v>2</v>
      </c>
      <c r="F53" s="2" t="str">
        <f t="shared" si="7"/>
        <v>First</v>
      </c>
      <c r="G53" s="2" t="str">
        <f t="shared" si="8"/>
        <v>First</v>
      </c>
      <c r="H53" s="2" t="str">
        <f>LOOKUP(DAYS360(DATE(YEAR(A53),1,0),A53), {0,81,171,263,352}, {"Winter","Spring","Summer","Autumn","Winter"})</f>
        <v>Winter</v>
      </c>
      <c r="I53" s="2">
        <f t="shared" si="5"/>
        <v>2023</v>
      </c>
      <c r="J53" s="2" t="s">
        <v>477</v>
      </c>
      <c r="K53" s="2" t="s">
        <v>738</v>
      </c>
      <c r="L53" s="2">
        <v>13</v>
      </c>
      <c r="M53" s="2">
        <v>5</v>
      </c>
    </row>
    <row r="54" spans="1:13" x14ac:dyDescent="0.35">
      <c r="A54" s="3">
        <v>44979</v>
      </c>
      <c r="B54" s="2" t="s">
        <v>77</v>
      </c>
      <c r="C54" s="2">
        <f t="shared" si="0"/>
        <v>4</v>
      </c>
      <c r="D54" s="2" t="str">
        <f t="shared" si="6"/>
        <v>Workday</v>
      </c>
      <c r="E54" s="2">
        <f t="shared" si="2"/>
        <v>2</v>
      </c>
      <c r="F54" s="2" t="str">
        <f t="shared" si="7"/>
        <v>First</v>
      </c>
      <c r="G54" s="2" t="str">
        <f t="shared" si="8"/>
        <v>First</v>
      </c>
      <c r="H54" s="2" t="str">
        <f>LOOKUP(DAYS360(DATE(YEAR(A54),1,0),A54), {0,81,171,263,352}, {"Winter","Spring","Summer","Autumn","Winter"})</f>
        <v>Winter</v>
      </c>
      <c r="I54" s="2">
        <f t="shared" si="5"/>
        <v>2023</v>
      </c>
      <c r="J54" s="2" t="s">
        <v>478</v>
      </c>
      <c r="K54" s="2" t="s">
        <v>738</v>
      </c>
      <c r="L54" s="2">
        <v>11</v>
      </c>
      <c r="M54" s="2">
        <v>5</v>
      </c>
    </row>
    <row r="55" spans="1:13" x14ac:dyDescent="0.35">
      <c r="A55" s="3">
        <v>44980</v>
      </c>
      <c r="B55" s="2" t="s">
        <v>78</v>
      </c>
      <c r="C55" s="2">
        <f t="shared" si="0"/>
        <v>5</v>
      </c>
      <c r="D55" s="2" t="str">
        <f t="shared" si="6"/>
        <v>Workday</v>
      </c>
      <c r="E55" s="2">
        <f t="shared" si="2"/>
        <v>2</v>
      </c>
      <c r="F55" s="2" t="str">
        <f t="shared" si="7"/>
        <v>First</v>
      </c>
      <c r="G55" s="2" t="str">
        <f t="shared" si="8"/>
        <v>First</v>
      </c>
      <c r="H55" s="2" t="str">
        <f>LOOKUP(DAYS360(DATE(YEAR(A55),1,0),A55), {0,81,171,263,352}, {"Winter","Spring","Summer","Autumn","Winter"})</f>
        <v>Winter</v>
      </c>
      <c r="I55" s="2">
        <f t="shared" si="5"/>
        <v>2023</v>
      </c>
      <c r="J55" s="2" t="s">
        <v>479</v>
      </c>
      <c r="K55" s="2" t="s">
        <v>738</v>
      </c>
      <c r="L55" s="2">
        <v>10</v>
      </c>
      <c r="M55" s="2">
        <v>1</v>
      </c>
    </row>
    <row r="56" spans="1:13" x14ac:dyDescent="0.35">
      <c r="A56" s="3">
        <v>44981</v>
      </c>
      <c r="B56" s="2" t="s">
        <v>79</v>
      </c>
      <c r="C56" s="2">
        <f t="shared" si="0"/>
        <v>6</v>
      </c>
      <c r="D56" s="2" t="str">
        <f t="shared" si="6"/>
        <v>Weekend</v>
      </c>
      <c r="E56" s="2">
        <f t="shared" si="2"/>
        <v>2</v>
      </c>
      <c r="F56" s="2" t="str">
        <f t="shared" si="7"/>
        <v>First</v>
      </c>
      <c r="G56" s="2" t="str">
        <f t="shared" si="8"/>
        <v>First</v>
      </c>
      <c r="H56" s="2" t="str">
        <f>LOOKUP(DAYS360(DATE(YEAR(A56),1,0),A56), {0,81,171,263,352}, {"Winter","Spring","Summer","Autumn","Winter"})</f>
        <v>Winter</v>
      </c>
      <c r="I56" s="2">
        <f t="shared" si="5"/>
        <v>2023</v>
      </c>
      <c r="J56" s="2" t="s">
        <v>480</v>
      </c>
      <c r="K56" s="2" t="s">
        <v>738</v>
      </c>
      <c r="L56" s="2">
        <v>9</v>
      </c>
      <c r="M56" s="2">
        <v>10</v>
      </c>
    </row>
    <row r="57" spans="1:13" x14ac:dyDescent="0.35">
      <c r="A57" s="3">
        <v>44982</v>
      </c>
      <c r="B57" s="2" t="s">
        <v>80</v>
      </c>
      <c r="C57" s="2">
        <f t="shared" si="0"/>
        <v>7</v>
      </c>
      <c r="D57" s="2" t="str">
        <f t="shared" si="6"/>
        <v>Weekend</v>
      </c>
      <c r="E57" s="2">
        <f t="shared" si="2"/>
        <v>2</v>
      </c>
      <c r="F57" s="2" t="str">
        <f t="shared" si="7"/>
        <v>First</v>
      </c>
      <c r="G57" s="2" t="str">
        <f t="shared" si="8"/>
        <v>First</v>
      </c>
      <c r="H57" s="2" t="str">
        <f>LOOKUP(DAYS360(DATE(YEAR(A57),1,0),A57), {0,81,171,263,352}, {"Winter","Spring","Summer","Autumn","Winter"})</f>
        <v>Winter</v>
      </c>
      <c r="I57" s="2">
        <f t="shared" si="5"/>
        <v>2023</v>
      </c>
      <c r="J57" s="2" t="s">
        <v>481</v>
      </c>
      <c r="K57" s="2" t="s">
        <v>738</v>
      </c>
      <c r="L57" s="2">
        <v>7</v>
      </c>
      <c r="M57" s="2">
        <v>17</v>
      </c>
    </row>
    <row r="58" spans="1:13" x14ac:dyDescent="0.35">
      <c r="A58" s="3">
        <v>44983</v>
      </c>
      <c r="B58" s="2" t="s">
        <v>81</v>
      </c>
      <c r="C58" s="2">
        <f t="shared" si="0"/>
        <v>1</v>
      </c>
      <c r="D58" s="2" t="str">
        <f t="shared" si="6"/>
        <v>Workday</v>
      </c>
      <c r="E58" s="2">
        <f t="shared" si="2"/>
        <v>2</v>
      </c>
      <c r="F58" s="2" t="str">
        <f t="shared" si="7"/>
        <v>First</v>
      </c>
      <c r="G58" s="2" t="str">
        <f t="shared" si="8"/>
        <v>First</v>
      </c>
      <c r="H58" s="2" t="str">
        <f>LOOKUP(DAYS360(DATE(YEAR(A58),1,0),A58), {0,81,171,263,352}, {"Winter","Spring","Summer","Autumn","Winter"})</f>
        <v>Winter</v>
      </c>
      <c r="I58" s="2">
        <f t="shared" si="5"/>
        <v>2023</v>
      </c>
      <c r="J58" s="2" t="s">
        <v>482</v>
      </c>
      <c r="K58" s="2" t="s">
        <v>738</v>
      </c>
      <c r="L58" s="2">
        <v>20</v>
      </c>
      <c r="M58" s="2">
        <v>16</v>
      </c>
    </row>
    <row r="59" spans="1:13" x14ac:dyDescent="0.35">
      <c r="A59" s="3">
        <v>44984</v>
      </c>
      <c r="B59" s="2" t="s">
        <v>82</v>
      </c>
      <c r="C59" s="2">
        <f t="shared" si="0"/>
        <v>2</v>
      </c>
      <c r="D59" s="2" t="str">
        <f t="shared" si="6"/>
        <v>Workday</v>
      </c>
      <c r="E59" s="2">
        <f t="shared" si="2"/>
        <v>2</v>
      </c>
      <c r="F59" s="2" t="str">
        <f t="shared" si="7"/>
        <v>First</v>
      </c>
      <c r="G59" s="2" t="str">
        <f t="shared" si="8"/>
        <v>First</v>
      </c>
      <c r="H59" s="2" t="str">
        <f>LOOKUP(DAYS360(DATE(YEAR(A59),1,0),A59), {0,81,171,263,352}, {"Winter","Spring","Summer","Autumn","Winter"})</f>
        <v>Winter</v>
      </c>
      <c r="I59" s="2">
        <f t="shared" si="5"/>
        <v>2023</v>
      </c>
      <c r="J59" s="2" t="s">
        <v>483</v>
      </c>
      <c r="K59" s="2" t="s">
        <v>738</v>
      </c>
      <c r="L59" s="2">
        <v>9</v>
      </c>
      <c r="M59" s="2">
        <v>14</v>
      </c>
    </row>
    <row r="60" spans="1:13" x14ac:dyDescent="0.35">
      <c r="A60" s="3">
        <v>44985</v>
      </c>
      <c r="B60" s="2" t="s">
        <v>83</v>
      </c>
      <c r="C60" s="2">
        <f t="shared" si="0"/>
        <v>3</v>
      </c>
      <c r="D60" s="2" t="str">
        <f t="shared" si="6"/>
        <v>Workday</v>
      </c>
      <c r="E60" s="2">
        <f t="shared" si="2"/>
        <v>2</v>
      </c>
      <c r="F60" s="2" t="str">
        <f t="shared" si="7"/>
        <v>First</v>
      </c>
      <c r="G60" s="2" t="str">
        <f t="shared" si="8"/>
        <v>First</v>
      </c>
      <c r="H60" s="2" t="str">
        <f>LOOKUP(DAYS360(DATE(YEAR(A60),1,0),A60), {0,81,171,263,352}, {"Winter","Spring","Summer","Autumn","Winter"})</f>
        <v>Winter</v>
      </c>
      <c r="I60" s="2">
        <f t="shared" si="5"/>
        <v>2023</v>
      </c>
      <c r="J60" s="2" t="s">
        <v>484</v>
      </c>
      <c r="K60" s="2" t="s">
        <v>738</v>
      </c>
      <c r="L60" s="2">
        <v>1</v>
      </c>
      <c r="M60" s="2">
        <v>4</v>
      </c>
    </row>
    <row r="61" spans="1:13" x14ac:dyDescent="0.35">
      <c r="A61" s="3">
        <v>44986</v>
      </c>
      <c r="B61" s="2" t="s">
        <v>84</v>
      </c>
      <c r="C61" s="2">
        <f t="shared" si="0"/>
        <v>4</v>
      </c>
      <c r="D61" s="2" t="str">
        <f t="shared" si="6"/>
        <v>Workday</v>
      </c>
      <c r="E61" s="2">
        <f t="shared" si="2"/>
        <v>3</v>
      </c>
      <c r="F61" s="2" t="str">
        <f t="shared" si="7"/>
        <v>First</v>
      </c>
      <c r="G61" s="2" t="str">
        <f t="shared" si="8"/>
        <v>First</v>
      </c>
      <c r="H61" s="2" t="str">
        <f>LOOKUP(DAYS360(DATE(YEAR(A61),1,0),A61), {0,81,171,263,352}, {"Winter","Spring","Summer","Autumn","Winter"})</f>
        <v>Winter</v>
      </c>
      <c r="I61" s="2">
        <f t="shared" si="5"/>
        <v>2023</v>
      </c>
      <c r="J61" s="2" t="s">
        <v>485</v>
      </c>
      <c r="K61" s="2" t="s">
        <v>736</v>
      </c>
      <c r="L61" s="2">
        <v>10</v>
      </c>
      <c r="M61" s="2">
        <v>20</v>
      </c>
    </row>
    <row r="62" spans="1:13" x14ac:dyDescent="0.35">
      <c r="A62" s="3">
        <v>44987</v>
      </c>
      <c r="B62" s="2" t="s">
        <v>85</v>
      </c>
      <c r="C62" s="2">
        <f t="shared" si="0"/>
        <v>5</v>
      </c>
      <c r="D62" s="2" t="str">
        <f t="shared" si="6"/>
        <v>Workday</v>
      </c>
      <c r="E62" s="2">
        <f t="shared" si="2"/>
        <v>3</v>
      </c>
      <c r="F62" s="2" t="str">
        <f t="shared" si="7"/>
        <v>First</v>
      </c>
      <c r="G62" s="2" t="str">
        <f t="shared" si="8"/>
        <v>First</v>
      </c>
      <c r="H62" s="2" t="str">
        <f>LOOKUP(DAYS360(DATE(YEAR(A62),1,0),A62), {0,81,171,263,352}, {"Winter","Spring","Summer","Autumn","Winter"})</f>
        <v>Winter</v>
      </c>
      <c r="I62" s="2">
        <f t="shared" si="5"/>
        <v>2023</v>
      </c>
      <c r="J62" s="2" t="s">
        <v>486</v>
      </c>
      <c r="K62" s="2" t="s">
        <v>736</v>
      </c>
      <c r="L62" s="2">
        <v>16</v>
      </c>
      <c r="M62" s="2">
        <v>14</v>
      </c>
    </row>
    <row r="63" spans="1:13" x14ac:dyDescent="0.35">
      <c r="A63" s="3">
        <v>44988</v>
      </c>
      <c r="B63" s="2" t="s">
        <v>86</v>
      </c>
      <c r="C63" s="2">
        <f t="shared" si="0"/>
        <v>6</v>
      </c>
      <c r="D63" s="2" t="str">
        <f t="shared" si="6"/>
        <v>Weekend</v>
      </c>
      <c r="E63" s="2">
        <f t="shared" si="2"/>
        <v>3</v>
      </c>
      <c r="F63" s="2" t="str">
        <f t="shared" si="7"/>
        <v>First</v>
      </c>
      <c r="G63" s="2" t="str">
        <f t="shared" si="8"/>
        <v>First</v>
      </c>
      <c r="H63" s="2" t="str">
        <f>LOOKUP(DAYS360(DATE(YEAR(A63),1,0),A63), {0,81,171,263,352}, {"Winter","Spring","Summer","Autumn","Winter"})</f>
        <v>Winter</v>
      </c>
      <c r="I63" s="2">
        <f t="shared" si="5"/>
        <v>2023</v>
      </c>
      <c r="J63" s="2" t="s">
        <v>487</v>
      </c>
      <c r="K63" s="2" t="s">
        <v>736</v>
      </c>
      <c r="L63" s="2">
        <v>4</v>
      </c>
      <c r="M63" s="2">
        <v>15</v>
      </c>
    </row>
    <row r="64" spans="1:13" x14ac:dyDescent="0.35">
      <c r="A64" s="3">
        <v>44989</v>
      </c>
      <c r="B64" s="2" t="s">
        <v>87</v>
      </c>
      <c r="C64" s="2">
        <f t="shared" si="0"/>
        <v>7</v>
      </c>
      <c r="D64" s="2" t="str">
        <f t="shared" si="6"/>
        <v>Weekend</v>
      </c>
      <c r="E64" s="2">
        <f t="shared" si="2"/>
        <v>3</v>
      </c>
      <c r="F64" s="2" t="str">
        <f t="shared" si="7"/>
        <v>First</v>
      </c>
      <c r="G64" s="2" t="str">
        <f t="shared" si="8"/>
        <v>First</v>
      </c>
      <c r="H64" s="2" t="str">
        <f>LOOKUP(DAYS360(DATE(YEAR(A64),1,0),A64), {0,81,171,263,352}, {"Winter","Spring","Summer","Autumn","Winter"})</f>
        <v>Winter</v>
      </c>
      <c r="I64" s="2">
        <f t="shared" si="5"/>
        <v>2023</v>
      </c>
      <c r="J64" s="2" t="s">
        <v>488</v>
      </c>
      <c r="K64" s="2" t="s">
        <v>736</v>
      </c>
      <c r="L64" s="2">
        <v>20</v>
      </c>
      <c r="M64" s="2">
        <v>8</v>
      </c>
    </row>
    <row r="65" spans="1:13" x14ac:dyDescent="0.35">
      <c r="A65" s="3">
        <v>44990</v>
      </c>
      <c r="B65" s="2" t="s">
        <v>88</v>
      </c>
      <c r="C65" s="2">
        <f t="shared" si="0"/>
        <v>1</v>
      </c>
      <c r="D65" s="2" t="str">
        <f t="shared" si="6"/>
        <v>Workday</v>
      </c>
      <c r="E65" s="2">
        <f t="shared" si="2"/>
        <v>3</v>
      </c>
      <c r="F65" s="2" t="str">
        <f t="shared" si="7"/>
        <v>First</v>
      </c>
      <c r="G65" s="2" t="str">
        <f t="shared" si="8"/>
        <v>First</v>
      </c>
      <c r="H65" s="2" t="str">
        <f>LOOKUP(DAYS360(DATE(YEAR(A65),1,0),A65), {0,81,171,263,352}, {"Winter","Spring","Summer","Autumn","Winter"})</f>
        <v>Winter</v>
      </c>
      <c r="I65" s="2">
        <f t="shared" si="5"/>
        <v>2023</v>
      </c>
      <c r="J65" s="2" t="s">
        <v>489</v>
      </c>
      <c r="K65" s="2" t="s">
        <v>736</v>
      </c>
      <c r="L65" s="2">
        <v>13</v>
      </c>
      <c r="M65" s="2">
        <v>3</v>
      </c>
    </row>
    <row r="66" spans="1:13" x14ac:dyDescent="0.35">
      <c r="A66" s="3">
        <v>44991</v>
      </c>
      <c r="B66" s="2" t="s">
        <v>89</v>
      </c>
      <c r="C66" s="2">
        <f t="shared" ref="C66:C129" si="9">WEEKDAY(A66)</f>
        <v>2</v>
      </c>
      <c r="D66" s="2" t="str">
        <f t="shared" si="6"/>
        <v>Workday</v>
      </c>
      <c r="E66" s="2">
        <f t="shared" ref="E66:E129" si="10">MONTH(A66)</f>
        <v>3</v>
      </c>
      <c r="F66" s="2" t="str">
        <f t="shared" si="7"/>
        <v>First</v>
      </c>
      <c r="G66" s="2" t="str">
        <f t="shared" si="8"/>
        <v>First</v>
      </c>
      <c r="H66" s="2" t="str">
        <f>LOOKUP(DAYS360(DATE(YEAR(A66),1,0),A66), {0,81,171,263,352}, {"Winter","Spring","Summer","Autumn","Winter"})</f>
        <v>Winter</v>
      </c>
      <c r="I66" s="2">
        <f t="shared" ref="I66:I129" si="11">YEAR(A66)</f>
        <v>2023</v>
      </c>
      <c r="J66" s="2" t="s">
        <v>490</v>
      </c>
      <c r="K66" s="2" t="s">
        <v>736</v>
      </c>
      <c r="L66" s="2">
        <v>11</v>
      </c>
      <c r="M66" s="2">
        <v>18</v>
      </c>
    </row>
    <row r="67" spans="1:13" x14ac:dyDescent="0.35">
      <c r="A67" s="3">
        <v>44992</v>
      </c>
      <c r="B67" s="2" t="s">
        <v>90</v>
      </c>
      <c r="C67" s="2">
        <f t="shared" si="9"/>
        <v>3</v>
      </c>
      <c r="D67" s="2" t="str">
        <f t="shared" si="6"/>
        <v>Workday</v>
      </c>
      <c r="E67" s="2">
        <f t="shared" si="10"/>
        <v>3</v>
      </c>
      <c r="F67" s="2" t="str">
        <f t="shared" si="7"/>
        <v>First</v>
      </c>
      <c r="G67" s="2" t="str">
        <f t="shared" si="8"/>
        <v>First</v>
      </c>
      <c r="H67" s="2" t="str">
        <f>LOOKUP(DAYS360(DATE(YEAR(A67),1,0),A67), {0,81,171,263,352}, {"Winter","Spring","Summer","Autumn","Winter"})</f>
        <v>Winter</v>
      </c>
      <c r="I67" s="2">
        <f t="shared" si="11"/>
        <v>2023</v>
      </c>
      <c r="J67" s="2" t="s">
        <v>491</v>
      </c>
      <c r="K67" s="2" t="s">
        <v>736</v>
      </c>
      <c r="L67" s="2">
        <v>8</v>
      </c>
      <c r="M67" s="2">
        <v>11</v>
      </c>
    </row>
    <row r="68" spans="1:13" x14ac:dyDescent="0.35">
      <c r="A68" s="3">
        <v>44993</v>
      </c>
      <c r="B68" s="2" t="s">
        <v>91</v>
      </c>
      <c r="C68" s="2">
        <f t="shared" si="9"/>
        <v>4</v>
      </c>
      <c r="D68" s="2" t="str">
        <f t="shared" si="6"/>
        <v>Workday</v>
      </c>
      <c r="E68" s="2">
        <f t="shared" si="10"/>
        <v>3</v>
      </c>
      <c r="F68" s="2" t="str">
        <f t="shared" si="7"/>
        <v>First</v>
      </c>
      <c r="G68" s="2" t="str">
        <f t="shared" si="8"/>
        <v>First</v>
      </c>
      <c r="H68" s="2" t="str">
        <f>LOOKUP(DAYS360(DATE(YEAR(A68),1,0),A68), {0,81,171,263,352}, {"Winter","Spring","Summer","Autumn","Winter"})</f>
        <v>Winter</v>
      </c>
      <c r="I68" s="2">
        <f t="shared" si="11"/>
        <v>2023</v>
      </c>
      <c r="J68" s="2" t="s">
        <v>492</v>
      </c>
      <c r="K68" s="2" t="s">
        <v>736</v>
      </c>
      <c r="L68" s="2">
        <v>17</v>
      </c>
      <c r="M68" s="2">
        <v>10</v>
      </c>
    </row>
    <row r="69" spans="1:13" x14ac:dyDescent="0.35">
      <c r="A69" s="3">
        <v>44994</v>
      </c>
      <c r="B69" s="2" t="s">
        <v>92</v>
      </c>
      <c r="C69" s="2">
        <f t="shared" si="9"/>
        <v>5</v>
      </c>
      <c r="D69" s="2" t="str">
        <f t="shared" si="6"/>
        <v>Workday</v>
      </c>
      <c r="E69" s="2">
        <f t="shared" si="10"/>
        <v>3</v>
      </c>
      <c r="F69" s="2" t="str">
        <f t="shared" si="7"/>
        <v>First</v>
      </c>
      <c r="G69" s="2" t="str">
        <f t="shared" si="8"/>
        <v>First</v>
      </c>
      <c r="H69" s="2" t="str">
        <f>LOOKUP(DAYS360(DATE(YEAR(A69),1,0),A69), {0,81,171,263,352}, {"Winter","Spring","Summer","Autumn","Winter"})</f>
        <v>Winter</v>
      </c>
      <c r="I69" s="2">
        <f t="shared" si="11"/>
        <v>2023</v>
      </c>
      <c r="J69" s="2" t="s">
        <v>23</v>
      </c>
      <c r="K69" s="2" t="s">
        <v>736</v>
      </c>
      <c r="L69" s="2">
        <v>7</v>
      </c>
      <c r="M69" s="2">
        <v>4</v>
      </c>
    </row>
    <row r="70" spans="1:13" x14ac:dyDescent="0.35">
      <c r="A70" s="3">
        <v>44995</v>
      </c>
      <c r="B70" s="2" t="s">
        <v>93</v>
      </c>
      <c r="C70" s="2">
        <f t="shared" si="9"/>
        <v>6</v>
      </c>
      <c r="D70" s="2" t="str">
        <f t="shared" si="6"/>
        <v>Weekend</v>
      </c>
      <c r="E70" s="2">
        <f t="shared" si="10"/>
        <v>3</v>
      </c>
      <c r="F70" s="2" t="str">
        <f t="shared" si="7"/>
        <v>First</v>
      </c>
      <c r="G70" s="2" t="str">
        <f t="shared" si="8"/>
        <v>First</v>
      </c>
      <c r="H70" s="2" t="str">
        <f>LOOKUP(DAYS360(DATE(YEAR(A70),1,0),A70), {0,81,171,263,352}, {"Winter","Spring","Summer","Autumn","Winter"})</f>
        <v>Winter</v>
      </c>
      <c r="I70" s="2">
        <f t="shared" si="11"/>
        <v>2023</v>
      </c>
      <c r="J70" s="2" t="s">
        <v>493</v>
      </c>
      <c r="K70" s="2" t="s">
        <v>736</v>
      </c>
      <c r="L70" s="2">
        <v>8</v>
      </c>
      <c r="M70" s="2">
        <v>8</v>
      </c>
    </row>
    <row r="71" spans="1:13" x14ac:dyDescent="0.35">
      <c r="A71" s="3">
        <v>44996</v>
      </c>
      <c r="B71" s="2" t="s">
        <v>94</v>
      </c>
      <c r="C71" s="2">
        <f t="shared" si="9"/>
        <v>7</v>
      </c>
      <c r="D71" s="2" t="str">
        <f t="shared" si="6"/>
        <v>Weekend</v>
      </c>
      <c r="E71" s="2">
        <f t="shared" si="10"/>
        <v>3</v>
      </c>
      <c r="F71" s="2" t="str">
        <f t="shared" si="7"/>
        <v>First</v>
      </c>
      <c r="G71" s="2" t="str">
        <f t="shared" si="8"/>
        <v>First</v>
      </c>
      <c r="H71" s="2" t="str">
        <f>LOOKUP(DAYS360(DATE(YEAR(A71),1,0),A71), {0,81,171,263,352}, {"Winter","Spring","Summer","Autumn","Winter"})</f>
        <v>Winter</v>
      </c>
      <c r="I71" s="2">
        <f t="shared" si="11"/>
        <v>2023</v>
      </c>
      <c r="J71" s="2" t="s">
        <v>494</v>
      </c>
      <c r="K71" s="2" t="s">
        <v>736</v>
      </c>
      <c r="L71" s="2">
        <v>4</v>
      </c>
      <c r="M71" s="2">
        <v>3</v>
      </c>
    </row>
    <row r="72" spans="1:13" x14ac:dyDescent="0.35">
      <c r="A72" s="3">
        <v>44997</v>
      </c>
      <c r="B72" s="2" t="s">
        <v>95</v>
      </c>
      <c r="C72" s="2">
        <f t="shared" si="9"/>
        <v>1</v>
      </c>
      <c r="D72" s="2" t="str">
        <f t="shared" si="6"/>
        <v>Workday</v>
      </c>
      <c r="E72" s="2">
        <f t="shared" si="10"/>
        <v>3</v>
      </c>
      <c r="F72" s="2" t="str">
        <f t="shared" si="7"/>
        <v>First</v>
      </c>
      <c r="G72" s="2" t="str">
        <f t="shared" si="8"/>
        <v>First</v>
      </c>
      <c r="H72" s="2" t="str">
        <f>LOOKUP(DAYS360(DATE(YEAR(A72),1,0),A72), {0,81,171,263,352}, {"Winter","Spring","Summer","Autumn","Winter"})</f>
        <v>Winter</v>
      </c>
      <c r="I72" s="2">
        <f t="shared" si="11"/>
        <v>2023</v>
      </c>
      <c r="J72" s="2" t="s">
        <v>495</v>
      </c>
      <c r="K72" s="2" t="s">
        <v>736</v>
      </c>
      <c r="L72" s="2">
        <v>5</v>
      </c>
      <c r="M72" s="2">
        <v>13</v>
      </c>
    </row>
    <row r="73" spans="1:13" x14ac:dyDescent="0.35">
      <c r="A73" s="3">
        <v>44998</v>
      </c>
      <c r="B73" s="2" t="s">
        <v>96</v>
      </c>
      <c r="C73" s="2">
        <f t="shared" si="9"/>
        <v>2</v>
      </c>
      <c r="D73" s="2" t="str">
        <f t="shared" si="6"/>
        <v>Workday</v>
      </c>
      <c r="E73" s="2">
        <f t="shared" si="10"/>
        <v>3</v>
      </c>
      <c r="F73" s="2" t="str">
        <f t="shared" si="7"/>
        <v>First</v>
      </c>
      <c r="G73" s="2" t="str">
        <f t="shared" si="8"/>
        <v>First</v>
      </c>
      <c r="H73" s="2" t="str">
        <f>LOOKUP(DAYS360(DATE(YEAR(A73),1,0),A73), {0,81,171,263,352}, {"Winter","Spring","Summer","Autumn","Winter"})</f>
        <v>Winter</v>
      </c>
      <c r="I73" s="2">
        <f t="shared" si="11"/>
        <v>2023</v>
      </c>
      <c r="J73" s="2" t="s">
        <v>496</v>
      </c>
      <c r="K73" s="2" t="s">
        <v>736</v>
      </c>
      <c r="L73" s="2">
        <v>6</v>
      </c>
      <c r="M73" s="2">
        <v>9</v>
      </c>
    </row>
    <row r="74" spans="1:13" x14ac:dyDescent="0.35">
      <c r="A74" s="3">
        <v>44999</v>
      </c>
      <c r="B74" s="2" t="s">
        <v>97</v>
      </c>
      <c r="C74" s="2">
        <f t="shared" si="9"/>
        <v>3</v>
      </c>
      <c r="D74" s="2" t="str">
        <f t="shared" si="6"/>
        <v>Workday</v>
      </c>
      <c r="E74" s="2">
        <f t="shared" si="10"/>
        <v>3</v>
      </c>
      <c r="F74" s="2" t="str">
        <f t="shared" si="7"/>
        <v>First</v>
      </c>
      <c r="G74" s="2" t="str">
        <f t="shared" si="8"/>
        <v>First</v>
      </c>
      <c r="H74" s="2" t="str">
        <f>LOOKUP(DAYS360(DATE(YEAR(A74),1,0),A74), {0,81,171,263,352}, {"Winter","Spring","Summer","Autumn","Winter"})</f>
        <v>Winter</v>
      </c>
      <c r="I74" s="2">
        <f t="shared" si="11"/>
        <v>2023</v>
      </c>
      <c r="J74" s="2" t="s">
        <v>497</v>
      </c>
      <c r="K74" s="2" t="s">
        <v>736</v>
      </c>
      <c r="L74" s="2">
        <v>4</v>
      </c>
      <c r="M74" s="2">
        <v>16</v>
      </c>
    </row>
    <row r="75" spans="1:13" x14ac:dyDescent="0.35">
      <c r="A75" s="3">
        <v>45000</v>
      </c>
      <c r="B75" s="2" t="s">
        <v>98</v>
      </c>
      <c r="C75" s="2">
        <f t="shared" si="9"/>
        <v>4</v>
      </c>
      <c r="D75" s="2" t="str">
        <f t="shared" si="6"/>
        <v>Workday</v>
      </c>
      <c r="E75" s="2">
        <f t="shared" si="10"/>
        <v>3</v>
      </c>
      <c r="F75" s="2" t="str">
        <f t="shared" si="7"/>
        <v>First</v>
      </c>
      <c r="G75" s="2" t="str">
        <f t="shared" si="8"/>
        <v>First</v>
      </c>
      <c r="H75" s="2" t="str">
        <f>LOOKUP(DAYS360(DATE(YEAR(A75),1,0),A75), {0,81,171,263,352}, {"Winter","Spring","Summer","Autumn","Winter"})</f>
        <v>Winter</v>
      </c>
      <c r="I75" s="2">
        <f t="shared" si="11"/>
        <v>2023</v>
      </c>
      <c r="J75" s="2" t="s">
        <v>498</v>
      </c>
      <c r="K75" s="2" t="s">
        <v>736</v>
      </c>
      <c r="L75" s="2">
        <v>9</v>
      </c>
      <c r="M75" s="2">
        <v>17</v>
      </c>
    </row>
    <row r="76" spans="1:13" x14ac:dyDescent="0.35">
      <c r="A76" s="3">
        <v>45001</v>
      </c>
      <c r="B76" s="2" t="s">
        <v>99</v>
      </c>
      <c r="C76" s="2">
        <f t="shared" si="9"/>
        <v>5</v>
      </c>
      <c r="D76" s="2" t="str">
        <f t="shared" si="6"/>
        <v>Workday</v>
      </c>
      <c r="E76" s="2">
        <f t="shared" si="10"/>
        <v>3</v>
      </c>
      <c r="F76" s="2" t="str">
        <f t="shared" si="7"/>
        <v>First</v>
      </c>
      <c r="G76" s="2" t="str">
        <f t="shared" si="8"/>
        <v>First</v>
      </c>
      <c r="H76" s="2" t="str">
        <f>LOOKUP(DAYS360(DATE(YEAR(A76),1,0),A76), {0,81,171,263,352}, {"Winter","Spring","Summer","Autumn","Winter"})</f>
        <v>Winter</v>
      </c>
      <c r="I76" s="2">
        <f t="shared" si="11"/>
        <v>2023</v>
      </c>
      <c r="J76" s="2" t="s">
        <v>499</v>
      </c>
      <c r="K76" s="2" t="s">
        <v>736</v>
      </c>
      <c r="L76" s="2">
        <v>11</v>
      </c>
      <c r="M76" s="2">
        <v>11</v>
      </c>
    </row>
    <row r="77" spans="1:13" x14ac:dyDescent="0.35">
      <c r="A77" s="3">
        <v>45002</v>
      </c>
      <c r="B77" s="2" t="s">
        <v>100</v>
      </c>
      <c r="C77" s="2">
        <f t="shared" si="9"/>
        <v>6</v>
      </c>
      <c r="D77" s="2" t="str">
        <f t="shared" si="6"/>
        <v>Weekend</v>
      </c>
      <c r="E77" s="2">
        <f t="shared" si="10"/>
        <v>3</v>
      </c>
      <c r="F77" s="2" t="str">
        <f t="shared" si="7"/>
        <v>First</v>
      </c>
      <c r="G77" s="2" t="str">
        <f t="shared" si="8"/>
        <v>First</v>
      </c>
      <c r="H77" s="2" t="str">
        <f>LOOKUP(DAYS360(DATE(YEAR(A77),1,0),A77), {0,81,171,263,352}, {"Winter","Spring","Summer","Autumn","Winter"})</f>
        <v>Winter</v>
      </c>
      <c r="I77" s="2">
        <f t="shared" si="11"/>
        <v>2023</v>
      </c>
      <c r="J77" s="2" t="s">
        <v>500</v>
      </c>
      <c r="K77" s="2" t="s">
        <v>736</v>
      </c>
      <c r="L77" s="2">
        <v>13</v>
      </c>
      <c r="M77" s="2">
        <v>3</v>
      </c>
    </row>
    <row r="78" spans="1:13" x14ac:dyDescent="0.35">
      <c r="A78" s="3">
        <v>45003</v>
      </c>
      <c r="B78" s="2" t="s">
        <v>101</v>
      </c>
      <c r="C78" s="2">
        <f t="shared" si="9"/>
        <v>7</v>
      </c>
      <c r="D78" s="2" t="str">
        <f t="shared" si="6"/>
        <v>Weekend</v>
      </c>
      <c r="E78" s="2">
        <f t="shared" si="10"/>
        <v>3</v>
      </c>
      <c r="F78" s="2" t="str">
        <f t="shared" si="7"/>
        <v>First</v>
      </c>
      <c r="G78" s="2" t="str">
        <f t="shared" si="8"/>
        <v>First</v>
      </c>
      <c r="H78" s="2" t="str">
        <f>LOOKUP(DAYS360(DATE(YEAR(A78),1,0),A78), {0,81,171,263,352}, {"Winter","Spring","Summer","Autumn","Winter"})</f>
        <v>Winter</v>
      </c>
      <c r="I78" s="2">
        <f t="shared" si="11"/>
        <v>2023</v>
      </c>
      <c r="J78" s="2" t="s">
        <v>501</v>
      </c>
      <c r="K78" s="2" t="s">
        <v>736</v>
      </c>
      <c r="L78" s="2">
        <v>17</v>
      </c>
      <c r="M78" s="2">
        <v>18</v>
      </c>
    </row>
    <row r="79" spans="1:13" x14ac:dyDescent="0.35">
      <c r="A79" s="3">
        <v>45004</v>
      </c>
      <c r="B79" s="2" t="s">
        <v>102</v>
      </c>
      <c r="C79" s="2">
        <f t="shared" si="9"/>
        <v>1</v>
      </c>
      <c r="D79" s="2" t="str">
        <f t="shared" si="6"/>
        <v>Workday</v>
      </c>
      <c r="E79" s="2">
        <f t="shared" si="10"/>
        <v>3</v>
      </c>
      <c r="F79" s="2" t="str">
        <f t="shared" si="7"/>
        <v>First</v>
      </c>
      <c r="G79" s="2" t="str">
        <f t="shared" si="8"/>
        <v>First</v>
      </c>
      <c r="H79" s="2" t="str">
        <f>LOOKUP(DAYS360(DATE(YEAR(A79),1,0),A79), {0,81,171,263,352}, {"Winter","Spring","Summer","Autumn","Winter"})</f>
        <v>Winter</v>
      </c>
      <c r="I79" s="2">
        <f t="shared" si="11"/>
        <v>2023</v>
      </c>
      <c r="J79" s="2" t="s">
        <v>502</v>
      </c>
      <c r="K79" s="2" t="s">
        <v>736</v>
      </c>
      <c r="L79" s="2">
        <v>6</v>
      </c>
      <c r="M79" s="2">
        <v>18</v>
      </c>
    </row>
    <row r="80" spans="1:13" x14ac:dyDescent="0.35">
      <c r="A80" s="3">
        <v>45005</v>
      </c>
      <c r="B80" s="2" t="s">
        <v>103</v>
      </c>
      <c r="C80" s="2">
        <f t="shared" si="9"/>
        <v>2</v>
      </c>
      <c r="D80" s="2" t="str">
        <f t="shared" si="6"/>
        <v>Workday</v>
      </c>
      <c r="E80" s="2">
        <f t="shared" si="10"/>
        <v>3</v>
      </c>
      <c r="F80" s="2" t="str">
        <f t="shared" si="7"/>
        <v>First</v>
      </c>
      <c r="G80" s="2" t="str">
        <f t="shared" si="8"/>
        <v>First</v>
      </c>
      <c r="H80" s="2" t="str">
        <f>LOOKUP(DAYS360(DATE(YEAR(A80),1,0),A80), {0,81,171,263,352}, {"Winter","Spring","Summer","Autumn","Winter"})</f>
        <v>Winter</v>
      </c>
      <c r="I80" s="2">
        <f t="shared" si="11"/>
        <v>2023</v>
      </c>
      <c r="J80" s="2" t="s">
        <v>503</v>
      </c>
      <c r="K80" s="2" t="s">
        <v>736</v>
      </c>
      <c r="L80" s="2">
        <v>16</v>
      </c>
      <c r="M80" s="2">
        <v>6</v>
      </c>
    </row>
    <row r="81" spans="1:13" x14ac:dyDescent="0.35">
      <c r="A81" s="3">
        <v>45006</v>
      </c>
      <c r="B81" s="2" t="s">
        <v>104</v>
      </c>
      <c r="C81" s="2">
        <f t="shared" si="9"/>
        <v>3</v>
      </c>
      <c r="D81" s="2" t="str">
        <f t="shared" si="6"/>
        <v>Workday</v>
      </c>
      <c r="E81" s="2">
        <f t="shared" si="10"/>
        <v>3</v>
      </c>
      <c r="F81" s="2" t="str">
        <f t="shared" si="7"/>
        <v>First</v>
      </c>
      <c r="G81" s="2" t="str">
        <f t="shared" si="8"/>
        <v>First</v>
      </c>
      <c r="H81" s="2" t="str">
        <f>LOOKUP(DAYS360(DATE(YEAR(A81),1,0),A81), {0,81,171,263,352}, {"Winter","Spring","Summer","Autumn","Winter"})</f>
        <v>Spring</v>
      </c>
      <c r="I81" s="2">
        <f t="shared" si="11"/>
        <v>2023</v>
      </c>
      <c r="J81" s="2" t="s">
        <v>504</v>
      </c>
      <c r="K81" s="2" t="s">
        <v>736</v>
      </c>
      <c r="L81" s="2">
        <v>2</v>
      </c>
      <c r="M81" s="2">
        <v>1</v>
      </c>
    </row>
    <row r="82" spans="1:13" x14ac:dyDescent="0.35">
      <c r="A82" s="3">
        <v>45007</v>
      </c>
      <c r="B82" s="2" t="s">
        <v>105</v>
      </c>
      <c r="C82" s="2">
        <f t="shared" si="9"/>
        <v>4</v>
      </c>
      <c r="D82" s="2" t="str">
        <f t="shared" si="6"/>
        <v>Workday</v>
      </c>
      <c r="E82" s="2">
        <f t="shared" si="10"/>
        <v>3</v>
      </c>
      <c r="F82" s="2" t="str">
        <f t="shared" si="7"/>
        <v>First</v>
      </c>
      <c r="G82" s="2" t="str">
        <f t="shared" si="8"/>
        <v>First</v>
      </c>
      <c r="H82" s="2" t="str">
        <f>LOOKUP(DAYS360(DATE(YEAR(A82),1,0),A82), {0,81,171,263,352}, {"Winter","Spring","Summer","Autumn","Winter"})</f>
        <v>Spring</v>
      </c>
      <c r="I82" s="2">
        <f t="shared" si="11"/>
        <v>2023</v>
      </c>
      <c r="J82" s="2" t="s">
        <v>505</v>
      </c>
      <c r="K82" s="2" t="s">
        <v>736</v>
      </c>
      <c r="L82" s="2">
        <v>16</v>
      </c>
      <c r="M82" s="2">
        <v>14</v>
      </c>
    </row>
    <row r="83" spans="1:13" x14ac:dyDescent="0.35">
      <c r="A83" s="3">
        <v>45008</v>
      </c>
      <c r="B83" s="2" t="s">
        <v>106</v>
      </c>
      <c r="C83" s="2">
        <f t="shared" si="9"/>
        <v>5</v>
      </c>
      <c r="D83" s="2" t="str">
        <f t="shared" si="6"/>
        <v>Workday</v>
      </c>
      <c r="E83" s="2">
        <f t="shared" si="10"/>
        <v>3</v>
      </c>
      <c r="F83" s="2" t="str">
        <f t="shared" si="7"/>
        <v>First</v>
      </c>
      <c r="G83" s="2" t="str">
        <f t="shared" si="8"/>
        <v>First</v>
      </c>
      <c r="H83" s="2" t="str">
        <f>LOOKUP(DAYS360(DATE(YEAR(A83),1,0),A83), {0,81,171,263,352}, {"Winter","Spring","Summer","Autumn","Winter"})</f>
        <v>Spring</v>
      </c>
      <c r="I83" s="2">
        <f t="shared" si="11"/>
        <v>2023</v>
      </c>
      <c r="J83" s="2" t="s">
        <v>506</v>
      </c>
      <c r="K83" s="2" t="s">
        <v>736</v>
      </c>
      <c r="L83" s="2">
        <v>15</v>
      </c>
      <c r="M83" s="2">
        <v>12</v>
      </c>
    </row>
    <row r="84" spans="1:13" x14ac:dyDescent="0.35">
      <c r="A84" s="3">
        <v>45009</v>
      </c>
      <c r="B84" s="2" t="s">
        <v>107</v>
      </c>
      <c r="C84" s="2">
        <f t="shared" si="9"/>
        <v>6</v>
      </c>
      <c r="D84" s="2" t="str">
        <f t="shared" si="6"/>
        <v>Weekend</v>
      </c>
      <c r="E84" s="2">
        <f t="shared" si="10"/>
        <v>3</v>
      </c>
      <c r="F84" s="2" t="str">
        <f t="shared" si="7"/>
        <v>First</v>
      </c>
      <c r="G84" s="2" t="str">
        <f t="shared" si="8"/>
        <v>First</v>
      </c>
      <c r="H84" s="2" t="str">
        <f>LOOKUP(DAYS360(DATE(YEAR(A84),1,0),A84), {0,81,171,263,352}, {"Winter","Spring","Summer","Autumn","Winter"})</f>
        <v>Spring</v>
      </c>
      <c r="I84" s="2">
        <f t="shared" si="11"/>
        <v>2023</v>
      </c>
      <c r="J84" s="2" t="s">
        <v>507</v>
      </c>
      <c r="K84" s="2" t="s">
        <v>736</v>
      </c>
      <c r="L84" s="2">
        <v>3</v>
      </c>
      <c r="M84" s="2">
        <v>10</v>
      </c>
    </row>
    <row r="85" spans="1:13" x14ac:dyDescent="0.35">
      <c r="A85" s="3">
        <v>45010</v>
      </c>
      <c r="B85" s="2" t="s">
        <v>108</v>
      </c>
      <c r="C85" s="2">
        <f t="shared" si="9"/>
        <v>7</v>
      </c>
      <c r="D85" s="2" t="str">
        <f t="shared" si="6"/>
        <v>Weekend</v>
      </c>
      <c r="E85" s="2">
        <f t="shared" si="10"/>
        <v>3</v>
      </c>
      <c r="F85" s="2" t="str">
        <f t="shared" si="7"/>
        <v>First</v>
      </c>
      <c r="G85" s="2" t="str">
        <f t="shared" si="8"/>
        <v>First</v>
      </c>
      <c r="H85" s="2" t="str">
        <f>LOOKUP(DAYS360(DATE(YEAR(A85),1,0),A85), {0,81,171,263,352}, {"Winter","Spring","Summer","Autumn","Winter"})</f>
        <v>Spring</v>
      </c>
      <c r="I85" s="2">
        <f t="shared" si="11"/>
        <v>2023</v>
      </c>
      <c r="J85" s="2" t="s">
        <v>508</v>
      </c>
      <c r="K85" s="2" t="s">
        <v>736</v>
      </c>
      <c r="L85" s="2">
        <v>14</v>
      </c>
      <c r="M85" s="2">
        <v>18</v>
      </c>
    </row>
    <row r="86" spans="1:13" x14ac:dyDescent="0.35">
      <c r="A86" s="3">
        <v>45011</v>
      </c>
      <c r="B86" s="2" t="s">
        <v>109</v>
      </c>
      <c r="C86" s="2">
        <f t="shared" si="9"/>
        <v>1</v>
      </c>
      <c r="D86" s="2" t="str">
        <f t="shared" si="6"/>
        <v>Workday</v>
      </c>
      <c r="E86" s="2">
        <f t="shared" si="10"/>
        <v>3</v>
      </c>
      <c r="F86" s="2" t="str">
        <f t="shared" si="7"/>
        <v>First</v>
      </c>
      <c r="G86" s="2" t="str">
        <f t="shared" si="8"/>
        <v>First</v>
      </c>
      <c r="H86" s="2" t="str">
        <f>LOOKUP(DAYS360(DATE(YEAR(A86),1,0),A86), {0,81,171,263,352}, {"Winter","Spring","Summer","Autumn","Winter"})</f>
        <v>Spring</v>
      </c>
      <c r="I86" s="2">
        <f t="shared" si="11"/>
        <v>2023</v>
      </c>
      <c r="J86" s="2" t="s">
        <v>509</v>
      </c>
      <c r="K86" s="2" t="s">
        <v>736</v>
      </c>
      <c r="L86" s="2">
        <v>12</v>
      </c>
      <c r="M86" s="2">
        <v>10</v>
      </c>
    </row>
    <row r="87" spans="1:13" x14ac:dyDescent="0.35">
      <c r="A87" s="3">
        <v>45012</v>
      </c>
      <c r="B87" s="2" t="s">
        <v>110</v>
      </c>
      <c r="C87" s="2">
        <f t="shared" si="9"/>
        <v>2</v>
      </c>
      <c r="D87" s="2" t="str">
        <f t="shared" si="6"/>
        <v>Workday</v>
      </c>
      <c r="E87" s="2">
        <f t="shared" si="10"/>
        <v>3</v>
      </c>
      <c r="F87" s="2" t="str">
        <f t="shared" si="7"/>
        <v>First</v>
      </c>
      <c r="G87" s="2" t="str">
        <f t="shared" si="8"/>
        <v>First</v>
      </c>
      <c r="H87" s="2" t="str">
        <f>LOOKUP(DAYS360(DATE(YEAR(A87),1,0),A87), {0,81,171,263,352}, {"Winter","Spring","Summer","Autumn","Winter"})</f>
        <v>Spring</v>
      </c>
      <c r="I87" s="2">
        <f t="shared" si="11"/>
        <v>2023</v>
      </c>
      <c r="J87" s="2" t="s">
        <v>476</v>
      </c>
      <c r="K87" s="2" t="s">
        <v>736</v>
      </c>
      <c r="L87" s="2">
        <v>5</v>
      </c>
      <c r="M87" s="2">
        <v>13</v>
      </c>
    </row>
    <row r="88" spans="1:13" x14ac:dyDescent="0.35">
      <c r="A88" s="3">
        <v>45013</v>
      </c>
      <c r="B88" s="2" t="s">
        <v>111</v>
      </c>
      <c r="C88" s="2">
        <f t="shared" si="9"/>
        <v>3</v>
      </c>
      <c r="D88" s="2" t="str">
        <f t="shared" si="6"/>
        <v>Workday</v>
      </c>
      <c r="E88" s="2">
        <f t="shared" si="10"/>
        <v>3</v>
      </c>
      <c r="F88" s="2" t="str">
        <f t="shared" si="7"/>
        <v>First</v>
      </c>
      <c r="G88" s="2" t="str">
        <f t="shared" si="8"/>
        <v>First</v>
      </c>
      <c r="H88" s="2" t="str">
        <f>LOOKUP(DAYS360(DATE(YEAR(A88),1,0),A88), {0,81,171,263,352}, {"Winter","Spring","Summer","Autumn","Winter"})</f>
        <v>Spring</v>
      </c>
      <c r="I88" s="2">
        <f t="shared" si="11"/>
        <v>2023</v>
      </c>
      <c r="J88" s="2" t="s">
        <v>510</v>
      </c>
      <c r="K88" s="2" t="s">
        <v>736</v>
      </c>
      <c r="L88" s="2">
        <v>19</v>
      </c>
      <c r="M88" s="2">
        <v>13</v>
      </c>
    </row>
    <row r="89" spans="1:13" x14ac:dyDescent="0.35">
      <c r="A89" s="3">
        <v>45014</v>
      </c>
      <c r="B89" s="2" t="s">
        <v>112</v>
      </c>
      <c r="C89" s="2">
        <f t="shared" si="9"/>
        <v>4</v>
      </c>
      <c r="D89" s="2" t="str">
        <f t="shared" si="6"/>
        <v>Workday</v>
      </c>
      <c r="E89" s="2">
        <f t="shared" si="10"/>
        <v>3</v>
      </c>
      <c r="F89" s="2" t="str">
        <f t="shared" si="7"/>
        <v>First</v>
      </c>
      <c r="G89" s="2" t="str">
        <f t="shared" si="8"/>
        <v>First</v>
      </c>
      <c r="H89" s="2" t="str">
        <f>LOOKUP(DAYS360(DATE(YEAR(A89),1,0),A89), {0,81,171,263,352}, {"Winter","Spring","Summer","Autumn","Winter"})</f>
        <v>Spring</v>
      </c>
      <c r="I89" s="2">
        <f t="shared" si="11"/>
        <v>2023</v>
      </c>
      <c r="J89" s="2" t="s">
        <v>511</v>
      </c>
      <c r="K89" s="2" t="s">
        <v>736</v>
      </c>
      <c r="L89" s="2">
        <v>3</v>
      </c>
      <c r="M89" s="2">
        <v>1</v>
      </c>
    </row>
    <row r="90" spans="1:13" x14ac:dyDescent="0.35">
      <c r="A90" s="3">
        <v>45015</v>
      </c>
      <c r="B90" s="2" t="s">
        <v>113</v>
      </c>
      <c r="C90" s="2">
        <f t="shared" si="9"/>
        <v>5</v>
      </c>
      <c r="D90" s="2" t="str">
        <f t="shared" si="6"/>
        <v>Workday</v>
      </c>
      <c r="E90" s="2">
        <f t="shared" si="10"/>
        <v>3</v>
      </c>
      <c r="F90" s="2" t="str">
        <f t="shared" si="7"/>
        <v>First</v>
      </c>
      <c r="G90" s="2" t="str">
        <f t="shared" si="8"/>
        <v>First</v>
      </c>
      <c r="H90" s="2" t="str">
        <f>LOOKUP(DAYS360(DATE(YEAR(A90),1,0),A90), {0,81,171,263,352}, {"Winter","Spring","Summer","Autumn","Winter"})</f>
        <v>Spring</v>
      </c>
      <c r="I90" s="2">
        <f t="shared" si="11"/>
        <v>2023</v>
      </c>
      <c r="J90" s="2" t="s">
        <v>512</v>
      </c>
      <c r="K90" s="2" t="s">
        <v>736</v>
      </c>
      <c r="L90" s="2">
        <v>7</v>
      </c>
      <c r="M90" s="2">
        <v>20</v>
      </c>
    </row>
    <row r="91" spans="1:13" x14ac:dyDescent="0.35">
      <c r="A91" s="3">
        <v>45016</v>
      </c>
      <c r="B91" s="2" t="s">
        <v>114</v>
      </c>
      <c r="C91" s="2">
        <f t="shared" si="9"/>
        <v>6</v>
      </c>
      <c r="D91" s="2" t="str">
        <f t="shared" si="6"/>
        <v>Weekend</v>
      </c>
      <c r="E91" s="2">
        <f t="shared" si="10"/>
        <v>3</v>
      </c>
      <c r="F91" s="2" t="str">
        <f t="shared" si="7"/>
        <v>First</v>
      </c>
      <c r="G91" s="2" t="str">
        <f t="shared" si="8"/>
        <v>First</v>
      </c>
      <c r="H91" s="2" t="str">
        <f>LOOKUP(DAYS360(DATE(YEAR(A91),1,0),A91), {0,81,171,263,352}, {"Winter","Spring","Summer","Autumn","Winter"})</f>
        <v>Spring</v>
      </c>
      <c r="I91" s="2">
        <f t="shared" si="11"/>
        <v>2023</v>
      </c>
      <c r="J91" s="2" t="s">
        <v>513</v>
      </c>
      <c r="K91" s="2" t="s">
        <v>736</v>
      </c>
      <c r="L91" s="2">
        <v>11</v>
      </c>
      <c r="M91" s="2">
        <v>11</v>
      </c>
    </row>
    <row r="92" spans="1:13" x14ac:dyDescent="0.35">
      <c r="A92" s="3">
        <v>45017</v>
      </c>
      <c r="B92" s="2" t="s">
        <v>115</v>
      </c>
      <c r="C92" s="2">
        <f t="shared" si="9"/>
        <v>7</v>
      </c>
      <c r="D92" s="2" t="str">
        <f t="shared" si="6"/>
        <v>Weekend</v>
      </c>
      <c r="E92" s="2">
        <f t="shared" si="10"/>
        <v>4</v>
      </c>
      <c r="F92" s="2" t="str">
        <f t="shared" si="7"/>
        <v>Second</v>
      </c>
      <c r="G92" s="2" t="str">
        <f t="shared" si="8"/>
        <v>First</v>
      </c>
      <c r="H92" s="2" t="str">
        <f>LOOKUP(DAYS360(DATE(YEAR(A92),1,0),A92), {0,81,171,263,352}, {"Winter","Spring","Summer","Autumn","Winter"})</f>
        <v>Spring</v>
      </c>
      <c r="I92" s="2">
        <f t="shared" si="11"/>
        <v>2023</v>
      </c>
      <c r="J92" s="2" t="s">
        <v>514</v>
      </c>
      <c r="K92" s="2" t="s">
        <v>736</v>
      </c>
      <c r="L92" s="2">
        <v>13</v>
      </c>
      <c r="M92" s="2">
        <v>18</v>
      </c>
    </row>
    <row r="93" spans="1:13" x14ac:dyDescent="0.35">
      <c r="A93" s="3">
        <v>45018</v>
      </c>
      <c r="B93" s="2" t="s">
        <v>116</v>
      </c>
      <c r="C93" s="2">
        <f t="shared" si="9"/>
        <v>1</v>
      </c>
      <c r="D93" s="2" t="str">
        <f t="shared" si="6"/>
        <v>Workday</v>
      </c>
      <c r="E93" s="2">
        <f t="shared" si="10"/>
        <v>4</v>
      </c>
      <c r="F93" s="2" t="str">
        <f t="shared" si="7"/>
        <v>Second</v>
      </c>
      <c r="G93" s="2" t="str">
        <f t="shared" si="8"/>
        <v>First</v>
      </c>
      <c r="H93" s="2" t="str">
        <f>LOOKUP(DAYS360(DATE(YEAR(A93),1,0),A93), {0,81,171,263,352}, {"Winter","Spring","Summer","Autumn","Winter"})</f>
        <v>Spring</v>
      </c>
      <c r="I93" s="2">
        <f t="shared" si="11"/>
        <v>2023</v>
      </c>
      <c r="J93" s="2" t="s">
        <v>515</v>
      </c>
      <c r="K93" s="2" t="s">
        <v>736</v>
      </c>
      <c r="L93" s="2">
        <v>20</v>
      </c>
      <c r="M93" s="2">
        <v>15</v>
      </c>
    </row>
    <row r="94" spans="1:13" x14ac:dyDescent="0.35">
      <c r="A94" s="3">
        <v>45019</v>
      </c>
      <c r="B94" s="2" t="s">
        <v>117</v>
      </c>
      <c r="C94" s="2">
        <f t="shared" si="9"/>
        <v>2</v>
      </c>
      <c r="D94" s="2" t="str">
        <f t="shared" si="6"/>
        <v>Workday</v>
      </c>
      <c r="E94" s="2">
        <f t="shared" si="10"/>
        <v>4</v>
      </c>
      <c r="F94" s="2" t="str">
        <f t="shared" si="7"/>
        <v>Second</v>
      </c>
      <c r="G94" s="2" t="str">
        <f t="shared" si="8"/>
        <v>First</v>
      </c>
      <c r="H94" s="2" t="str">
        <f>LOOKUP(DAYS360(DATE(YEAR(A94),1,0),A94), {0,81,171,263,352}, {"Winter","Spring","Summer","Autumn","Winter"})</f>
        <v>Spring</v>
      </c>
      <c r="I94" s="2">
        <f t="shared" si="11"/>
        <v>2023</v>
      </c>
      <c r="J94" s="2" t="s">
        <v>413</v>
      </c>
      <c r="K94" s="2" t="s">
        <v>736</v>
      </c>
      <c r="L94" s="2">
        <v>17</v>
      </c>
      <c r="M94" s="2">
        <v>16</v>
      </c>
    </row>
    <row r="95" spans="1:13" x14ac:dyDescent="0.35">
      <c r="A95" s="3">
        <v>45020</v>
      </c>
      <c r="B95" s="2" t="s">
        <v>118</v>
      </c>
      <c r="C95" s="2">
        <f t="shared" si="9"/>
        <v>3</v>
      </c>
      <c r="D95" s="2" t="str">
        <f t="shared" si="6"/>
        <v>Workday</v>
      </c>
      <c r="E95" s="2">
        <f t="shared" si="10"/>
        <v>4</v>
      </c>
      <c r="F95" s="2" t="str">
        <f t="shared" si="7"/>
        <v>Second</v>
      </c>
      <c r="G95" s="2" t="str">
        <f t="shared" si="8"/>
        <v>First</v>
      </c>
      <c r="H95" s="2" t="str">
        <f>LOOKUP(DAYS360(DATE(YEAR(A95),1,0),A95), {0,81,171,263,352}, {"Winter","Spring","Summer","Autumn","Winter"})</f>
        <v>Spring</v>
      </c>
      <c r="I95" s="2">
        <f t="shared" si="11"/>
        <v>2023</v>
      </c>
      <c r="J95" s="2" t="s">
        <v>516</v>
      </c>
      <c r="K95" s="2" t="s">
        <v>736</v>
      </c>
      <c r="L95" s="2">
        <v>3</v>
      </c>
      <c r="M95" s="2">
        <v>2</v>
      </c>
    </row>
    <row r="96" spans="1:13" x14ac:dyDescent="0.35">
      <c r="A96" s="3">
        <v>45021</v>
      </c>
      <c r="B96" s="2" t="s">
        <v>119</v>
      </c>
      <c r="C96" s="2">
        <f t="shared" si="9"/>
        <v>4</v>
      </c>
      <c r="D96" s="2" t="str">
        <f t="shared" si="6"/>
        <v>Workday</v>
      </c>
      <c r="E96" s="2">
        <f t="shared" si="10"/>
        <v>4</v>
      </c>
      <c r="F96" s="2" t="str">
        <f t="shared" si="7"/>
        <v>Second</v>
      </c>
      <c r="G96" s="2" t="str">
        <f t="shared" si="8"/>
        <v>First</v>
      </c>
      <c r="H96" s="2" t="str">
        <f>LOOKUP(DAYS360(DATE(YEAR(A96),1,0),A96), {0,81,171,263,352}, {"Winter","Spring","Summer","Autumn","Winter"})</f>
        <v>Spring</v>
      </c>
      <c r="I96" s="2">
        <f t="shared" si="11"/>
        <v>2023</v>
      </c>
      <c r="J96" s="2" t="s">
        <v>517</v>
      </c>
      <c r="K96" s="2" t="s">
        <v>736</v>
      </c>
      <c r="L96" s="2">
        <v>7</v>
      </c>
      <c r="M96" s="2">
        <v>19</v>
      </c>
    </row>
    <row r="97" spans="1:13" x14ac:dyDescent="0.35">
      <c r="A97" s="3">
        <v>45022</v>
      </c>
      <c r="B97" s="2" t="s">
        <v>120</v>
      </c>
      <c r="C97" s="2">
        <f t="shared" si="9"/>
        <v>5</v>
      </c>
      <c r="D97" s="2" t="str">
        <f t="shared" ref="D97:D160" si="12">IF(C97&lt;6,"Workday","Weekend")</f>
        <v>Workday</v>
      </c>
      <c r="E97" s="2">
        <f t="shared" si="10"/>
        <v>4</v>
      </c>
      <c r="F97" s="2" t="str">
        <f t="shared" ref="F97:F160" si="13">IF(E97&lt;4,"First",IF(AND(E97&gt;3,E97&lt;7),"Second",IF(AND(E97&gt;6,E97&lt;10),"Third",IF(E97&gt;9,"Fourth",0))))</f>
        <v>Second</v>
      </c>
      <c r="G97" s="2" t="str">
        <f t="shared" ref="G97:G160" si="14">IF(E97&lt;7,"First","Second")</f>
        <v>First</v>
      </c>
      <c r="H97" s="2" t="str">
        <f>LOOKUP(DAYS360(DATE(YEAR(A97),1,0),A97), {0,81,171,263,352}, {"Winter","Spring","Summer","Autumn","Winter"})</f>
        <v>Spring</v>
      </c>
      <c r="I97" s="2">
        <f t="shared" si="11"/>
        <v>2023</v>
      </c>
      <c r="J97" s="2" t="s">
        <v>518</v>
      </c>
      <c r="K97" s="2" t="s">
        <v>736</v>
      </c>
      <c r="L97" s="2">
        <v>7</v>
      </c>
      <c r="M97" s="2">
        <v>11</v>
      </c>
    </row>
    <row r="98" spans="1:13" x14ac:dyDescent="0.35">
      <c r="A98" s="3">
        <v>45023</v>
      </c>
      <c r="B98" s="2" t="s">
        <v>121</v>
      </c>
      <c r="C98" s="2">
        <f t="shared" si="9"/>
        <v>6</v>
      </c>
      <c r="D98" s="2" t="str">
        <f t="shared" si="12"/>
        <v>Weekend</v>
      </c>
      <c r="E98" s="2">
        <f t="shared" si="10"/>
        <v>4</v>
      </c>
      <c r="F98" s="2" t="str">
        <f t="shared" si="13"/>
        <v>Second</v>
      </c>
      <c r="G98" s="2" t="str">
        <f t="shared" si="14"/>
        <v>First</v>
      </c>
      <c r="H98" s="2" t="str">
        <f>LOOKUP(DAYS360(DATE(YEAR(A98),1,0),A98), {0,81,171,263,352}, {"Winter","Spring","Summer","Autumn","Winter"})</f>
        <v>Spring</v>
      </c>
      <c r="I98" s="2">
        <f t="shared" si="11"/>
        <v>2023</v>
      </c>
      <c r="J98" s="2" t="s">
        <v>389</v>
      </c>
      <c r="K98" s="2" t="s">
        <v>736</v>
      </c>
      <c r="L98" s="2">
        <v>10</v>
      </c>
      <c r="M98" s="2">
        <v>12</v>
      </c>
    </row>
    <row r="99" spans="1:13" x14ac:dyDescent="0.35">
      <c r="A99" s="3">
        <v>45024</v>
      </c>
      <c r="B99" s="2" t="s">
        <v>122</v>
      </c>
      <c r="C99" s="2">
        <f t="shared" si="9"/>
        <v>7</v>
      </c>
      <c r="D99" s="2" t="str">
        <f t="shared" si="12"/>
        <v>Weekend</v>
      </c>
      <c r="E99" s="2">
        <f t="shared" si="10"/>
        <v>4</v>
      </c>
      <c r="F99" s="2" t="str">
        <f t="shared" si="13"/>
        <v>Second</v>
      </c>
      <c r="G99" s="2" t="str">
        <f t="shared" si="14"/>
        <v>First</v>
      </c>
      <c r="H99" s="2" t="str">
        <f>LOOKUP(DAYS360(DATE(YEAR(A99),1,0),A99), {0,81,171,263,352}, {"Winter","Spring","Summer","Autumn","Winter"})</f>
        <v>Spring</v>
      </c>
      <c r="I99" s="2">
        <f t="shared" si="11"/>
        <v>2023</v>
      </c>
      <c r="J99" s="2" t="s">
        <v>519</v>
      </c>
      <c r="K99" s="2" t="s">
        <v>736</v>
      </c>
      <c r="L99" s="2">
        <v>19</v>
      </c>
      <c r="M99" s="2">
        <v>13</v>
      </c>
    </row>
    <row r="100" spans="1:13" x14ac:dyDescent="0.35">
      <c r="A100" s="3">
        <v>45025</v>
      </c>
      <c r="B100" s="2" t="s">
        <v>123</v>
      </c>
      <c r="C100" s="2">
        <f t="shared" si="9"/>
        <v>1</v>
      </c>
      <c r="D100" s="2" t="str">
        <f t="shared" si="12"/>
        <v>Workday</v>
      </c>
      <c r="E100" s="2">
        <f t="shared" si="10"/>
        <v>4</v>
      </c>
      <c r="F100" s="2" t="str">
        <f t="shared" si="13"/>
        <v>Second</v>
      </c>
      <c r="G100" s="2" t="str">
        <f t="shared" si="14"/>
        <v>First</v>
      </c>
      <c r="H100" s="2" t="str">
        <f>LOOKUP(DAYS360(DATE(YEAR(A100),1,0),A100), {0,81,171,263,352}, {"Winter","Spring","Summer","Autumn","Winter"})</f>
        <v>Spring</v>
      </c>
      <c r="I100" s="2">
        <f t="shared" si="11"/>
        <v>2023</v>
      </c>
      <c r="J100" s="2" t="s">
        <v>520</v>
      </c>
      <c r="K100" s="2" t="s">
        <v>736</v>
      </c>
      <c r="L100" s="2">
        <v>7</v>
      </c>
      <c r="M100" s="2">
        <v>1</v>
      </c>
    </row>
    <row r="101" spans="1:13" x14ac:dyDescent="0.35">
      <c r="A101" s="3">
        <v>45026</v>
      </c>
      <c r="B101" s="2" t="s">
        <v>124</v>
      </c>
      <c r="C101" s="2">
        <f t="shared" si="9"/>
        <v>2</v>
      </c>
      <c r="D101" s="2" t="str">
        <f t="shared" si="12"/>
        <v>Workday</v>
      </c>
      <c r="E101" s="2">
        <f t="shared" si="10"/>
        <v>4</v>
      </c>
      <c r="F101" s="2" t="str">
        <f t="shared" si="13"/>
        <v>Second</v>
      </c>
      <c r="G101" s="2" t="str">
        <f t="shared" si="14"/>
        <v>First</v>
      </c>
      <c r="H101" s="2" t="str">
        <f>LOOKUP(DAYS360(DATE(YEAR(A101),1,0),A101), {0,81,171,263,352}, {"Winter","Spring","Summer","Autumn","Winter"})</f>
        <v>Spring</v>
      </c>
      <c r="I101" s="2">
        <f t="shared" si="11"/>
        <v>2023</v>
      </c>
      <c r="J101" s="2" t="s">
        <v>521</v>
      </c>
      <c r="K101" s="2" t="s">
        <v>736</v>
      </c>
      <c r="L101" s="2">
        <v>12</v>
      </c>
      <c r="M101" s="2">
        <v>12</v>
      </c>
    </row>
    <row r="102" spans="1:13" x14ac:dyDescent="0.35">
      <c r="A102" s="3">
        <v>45027</v>
      </c>
      <c r="B102" s="2" t="s">
        <v>125</v>
      </c>
      <c r="C102" s="2">
        <f t="shared" si="9"/>
        <v>3</v>
      </c>
      <c r="D102" s="2" t="str">
        <f t="shared" si="12"/>
        <v>Workday</v>
      </c>
      <c r="E102" s="2">
        <f t="shared" si="10"/>
        <v>4</v>
      </c>
      <c r="F102" s="2" t="str">
        <f t="shared" si="13"/>
        <v>Second</v>
      </c>
      <c r="G102" s="2" t="str">
        <f t="shared" si="14"/>
        <v>First</v>
      </c>
      <c r="H102" s="2" t="str">
        <f>LOOKUP(DAYS360(DATE(YEAR(A102),1,0),A102), {0,81,171,263,352}, {"Winter","Spring","Summer","Autumn","Winter"})</f>
        <v>Spring</v>
      </c>
      <c r="I102" s="2">
        <f t="shared" si="11"/>
        <v>2023</v>
      </c>
      <c r="J102" s="2" t="s">
        <v>522</v>
      </c>
      <c r="K102" s="2" t="s">
        <v>736</v>
      </c>
      <c r="L102" s="2">
        <v>19</v>
      </c>
      <c r="M102" s="2">
        <v>8</v>
      </c>
    </row>
    <row r="103" spans="1:13" x14ac:dyDescent="0.35">
      <c r="A103" s="3">
        <v>45028</v>
      </c>
      <c r="B103" s="2" t="s">
        <v>126</v>
      </c>
      <c r="C103" s="2">
        <f t="shared" si="9"/>
        <v>4</v>
      </c>
      <c r="D103" s="2" t="str">
        <f t="shared" si="12"/>
        <v>Workday</v>
      </c>
      <c r="E103" s="2">
        <f t="shared" si="10"/>
        <v>4</v>
      </c>
      <c r="F103" s="2" t="str">
        <f t="shared" si="13"/>
        <v>Second</v>
      </c>
      <c r="G103" s="2" t="str">
        <f t="shared" si="14"/>
        <v>First</v>
      </c>
      <c r="H103" s="2" t="str">
        <f>LOOKUP(DAYS360(DATE(YEAR(A103),1,0),A103), {0,81,171,263,352}, {"Winter","Spring","Summer","Autumn","Winter"})</f>
        <v>Spring</v>
      </c>
      <c r="I103" s="2">
        <f t="shared" si="11"/>
        <v>2023</v>
      </c>
      <c r="J103" s="2" t="s">
        <v>523</v>
      </c>
      <c r="K103" s="2" t="s">
        <v>736</v>
      </c>
      <c r="L103" s="2">
        <v>15</v>
      </c>
      <c r="M103" s="2">
        <v>5</v>
      </c>
    </row>
    <row r="104" spans="1:13" x14ac:dyDescent="0.35">
      <c r="A104" s="3">
        <v>45029</v>
      </c>
      <c r="B104" s="2" t="s">
        <v>127</v>
      </c>
      <c r="C104" s="2">
        <f t="shared" si="9"/>
        <v>5</v>
      </c>
      <c r="D104" s="2" t="str">
        <f t="shared" si="12"/>
        <v>Workday</v>
      </c>
      <c r="E104" s="2">
        <f t="shared" si="10"/>
        <v>4</v>
      </c>
      <c r="F104" s="2" t="str">
        <f t="shared" si="13"/>
        <v>Second</v>
      </c>
      <c r="G104" s="2" t="str">
        <f t="shared" si="14"/>
        <v>First</v>
      </c>
      <c r="H104" s="2" t="str">
        <f>LOOKUP(DAYS360(DATE(YEAR(A104),1,0),A104), {0,81,171,263,352}, {"Winter","Spring","Summer","Autumn","Winter"})</f>
        <v>Spring</v>
      </c>
      <c r="I104" s="2">
        <f t="shared" si="11"/>
        <v>2023</v>
      </c>
      <c r="J104" s="2" t="s">
        <v>524</v>
      </c>
      <c r="K104" s="2" t="s">
        <v>736</v>
      </c>
      <c r="L104" s="2">
        <v>15</v>
      </c>
      <c r="M104" s="2">
        <v>14</v>
      </c>
    </row>
    <row r="105" spans="1:13" x14ac:dyDescent="0.35">
      <c r="A105" s="3">
        <v>45030</v>
      </c>
      <c r="B105" s="2" t="s">
        <v>128</v>
      </c>
      <c r="C105" s="2">
        <f t="shared" si="9"/>
        <v>6</v>
      </c>
      <c r="D105" s="2" t="str">
        <f t="shared" si="12"/>
        <v>Weekend</v>
      </c>
      <c r="E105" s="2">
        <f t="shared" si="10"/>
        <v>4</v>
      </c>
      <c r="F105" s="2" t="str">
        <f t="shared" si="13"/>
        <v>Second</v>
      </c>
      <c r="G105" s="2" t="str">
        <f t="shared" si="14"/>
        <v>First</v>
      </c>
      <c r="H105" s="2" t="str">
        <f>LOOKUP(DAYS360(DATE(YEAR(A105),1,0),A105), {0,81,171,263,352}, {"Winter","Spring","Summer","Autumn","Winter"})</f>
        <v>Spring</v>
      </c>
      <c r="I105" s="2">
        <f t="shared" si="11"/>
        <v>2023</v>
      </c>
      <c r="J105" s="2" t="s">
        <v>14</v>
      </c>
      <c r="K105" s="2" t="s">
        <v>736</v>
      </c>
      <c r="L105" s="2">
        <v>3</v>
      </c>
      <c r="M105" s="2">
        <v>14</v>
      </c>
    </row>
    <row r="106" spans="1:13" x14ac:dyDescent="0.35">
      <c r="A106" s="3">
        <v>45031</v>
      </c>
      <c r="B106" s="2" t="s">
        <v>129</v>
      </c>
      <c r="C106" s="2">
        <f t="shared" si="9"/>
        <v>7</v>
      </c>
      <c r="D106" s="2" t="str">
        <f t="shared" si="12"/>
        <v>Weekend</v>
      </c>
      <c r="E106" s="2">
        <f t="shared" si="10"/>
        <v>4</v>
      </c>
      <c r="F106" s="2" t="str">
        <f t="shared" si="13"/>
        <v>Second</v>
      </c>
      <c r="G106" s="2" t="str">
        <f t="shared" si="14"/>
        <v>First</v>
      </c>
      <c r="H106" s="2" t="str">
        <f>LOOKUP(DAYS360(DATE(YEAR(A106),1,0),A106), {0,81,171,263,352}, {"Winter","Spring","Summer","Autumn","Winter"})</f>
        <v>Spring</v>
      </c>
      <c r="I106" s="2">
        <f t="shared" si="11"/>
        <v>2023</v>
      </c>
      <c r="J106" s="2" t="s">
        <v>430</v>
      </c>
      <c r="K106" s="2" t="s">
        <v>736</v>
      </c>
      <c r="L106" s="2">
        <v>3</v>
      </c>
      <c r="M106" s="2">
        <v>15</v>
      </c>
    </row>
    <row r="107" spans="1:13" x14ac:dyDescent="0.35">
      <c r="A107" s="3">
        <v>45032</v>
      </c>
      <c r="B107" s="2" t="s">
        <v>130</v>
      </c>
      <c r="C107" s="2">
        <f t="shared" si="9"/>
        <v>1</v>
      </c>
      <c r="D107" s="2" t="str">
        <f t="shared" si="12"/>
        <v>Workday</v>
      </c>
      <c r="E107" s="2">
        <f t="shared" si="10"/>
        <v>4</v>
      </c>
      <c r="F107" s="2" t="str">
        <f t="shared" si="13"/>
        <v>Second</v>
      </c>
      <c r="G107" s="2" t="str">
        <f t="shared" si="14"/>
        <v>First</v>
      </c>
      <c r="H107" s="2" t="str">
        <f>LOOKUP(DAYS360(DATE(YEAR(A107),1,0),A107), {0,81,171,263,352}, {"Winter","Spring","Summer","Autumn","Winter"})</f>
        <v>Spring</v>
      </c>
      <c r="I107" s="2">
        <f t="shared" si="11"/>
        <v>2023</v>
      </c>
      <c r="J107" s="2" t="s">
        <v>525</v>
      </c>
      <c r="K107" s="2" t="s">
        <v>736</v>
      </c>
      <c r="L107" s="2">
        <v>14</v>
      </c>
      <c r="M107" s="2">
        <v>8</v>
      </c>
    </row>
    <row r="108" spans="1:13" x14ac:dyDescent="0.35">
      <c r="A108" s="3">
        <v>45033</v>
      </c>
      <c r="B108" s="2" t="s">
        <v>131</v>
      </c>
      <c r="C108" s="2">
        <f t="shared" si="9"/>
        <v>2</v>
      </c>
      <c r="D108" s="2" t="str">
        <f t="shared" si="12"/>
        <v>Workday</v>
      </c>
      <c r="E108" s="2">
        <f t="shared" si="10"/>
        <v>4</v>
      </c>
      <c r="F108" s="2" t="str">
        <f t="shared" si="13"/>
        <v>Second</v>
      </c>
      <c r="G108" s="2" t="str">
        <f t="shared" si="14"/>
        <v>First</v>
      </c>
      <c r="H108" s="2" t="str">
        <f>LOOKUP(DAYS360(DATE(YEAR(A108),1,0),A108), {0,81,171,263,352}, {"Winter","Spring","Summer","Autumn","Winter"})</f>
        <v>Spring</v>
      </c>
      <c r="I108" s="2">
        <f t="shared" si="11"/>
        <v>2023</v>
      </c>
      <c r="J108" s="2" t="s">
        <v>526</v>
      </c>
      <c r="K108" s="2" t="s">
        <v>736</v>
      </c>
      <c r="L108" s="2">
        <v>11</v>
      </c>
      <c r="M108" s="2">
        <v>7</v>
      </c>
    </row>
    <row r="109" spans="1:13" x14ac:dyDescent="0.35">
      <c r="A109" s="3">
        <v>45034</v>
      </c>
      <c r="B109" s="2" t="s">
        <v>132</v>
      </c>
      <c r="C109" s="2">
        <f t="shared" si="9"/>
        <v>3</v>
      </c>
      <c r="D109" s="2" t="str">
        <f t="shared" si="12"/>
        <v>Workday</v>
      </c>
      <c r="E109" s="2">
        <f t="shared" si="10"/>
        <v>4</v>
      </c>
      <c r="F109" s="2" t="str">
        <f t="shared" si="13"/>
        <v>Second</v>
      </c>
      <c r="G109" s="2" t="str">
        <f t="shared" si="14"/>
        <v>First</v>
      </c>
      <c r="H109" s="2" t="str">
        <f>LOOKUP(DAYS360(DATE(YEAR(A109),1,0),A109), {0,81,171,263,352}, {"Winter","Spring","Summer","Autumn","Winter"})</f>
        <v>Spring</v>
      </c>
      <c r="I109" s="2">
        <f t="shared" si="11"/>
        <v>2023</v>
      </c>
      <c r="J109" s="2" t="s">
        <v>527</v>
      </c>
      <c r="K109" s="2" t="s">
        <v>736</v>
      </c>
      <c r="L109" s="2">
        <v>9</v>
      </c>
      <c r="M109" s="2">
        <v>19</v>
      </c>
    </row>
    <row r="110" spans="1:13" x14ac:dyDescent="0.35">
      <c r="A110" s="3">
        <v>45035</v>
      </c>
      <c r="B110" s="2" t="s">
        <v>133</v>
      </c>
      <c r="C110" s="2">
        <f t="shared" si="9"/>
        <v>4</v>
      </c>
      <c r="D110" s="2" t="str">
        <f t="shared" si="12"/>
        <v>Workday</v>
      </c>
      <c r="E110" s="2">
        <f t="shared" si="10"/>
        <v>4</v>
      </c>
      <c r="F110" s="2" t="str">
        <f t="shared" si="13"/>
        <v>Second</v>
      </c>
      <c r="G110" s="2" t="str">
        <f t="shared" si="14"/>
        <v>First</v>
      </c>
      <c r="H110" s="2" t="str">
        <f>LOOKUP(DAYS360(DATE(YEAR(A110),1,0),A110), {0,81,171,263,352}, {"Winter","Spring","Summer","Autumn","Winter"})</f>
        <v>Spring</v>
      </c>
      <c r="I110" s="2">
        <f t="shared" si="11"/>
        <v>2023</v>
      </c>
      <c r="J110" s="2" t="s">
        <v>528</v>
      </c>
      <c r="K110" s="2" t="s">
        <v>736</v>
      </c>
      <c r="L110" s="2">
        <v>11</v>
      </c>
      <c r="M110" s="2">
        <v>16</v>
      </c>
    </row>
    <row r="111" spans="1:13" x14ac:dyDescent="0.35">
      <c r="A111" s="3">
        <v>45036</v>
      </c>
      <c r="B111" s="2" t="s">
        <v>134</v>
      </c>
      <c r="C111" s="2">
        <f t="shared" si="9"/>
        <v>5</v>
      </c>
      <c r="D111" s="2" t="str">
        <f t="shared" si="12"/>
        <v>Workday</v>
      </c>
      <c r="E111" s="2">
        <f t="shared" si="10"/>
        <v>4</v>
      </c>
      <c r="F111" s="2" t="str">
        <f t="shared" si="13"/>
        <v>Second</v>
      </c>
      <c r="G111" s="2" t="str">
        <f t="shared" si="14"/>
        <v>First</v>
      </c>
      <c r="H111" s="2" t="str">
        <f>LOOKUP(DAYS360(DATE(YEAR(A111),1,0),A111), {0,81,171,263,352}, {"Winter","Spring","Summer","Autumn","Winter"})</f>
        <v>Spring</v>
      </c>
      <c r="I111" s="2">
        <f t="shared" si="11"/>
        <v>2023</v>
      </c>
      <c r="J111" s="2" t="s">
        <v>529</v>
      </c>
      <c r="K111" s="2" t="s">
        <v>736</v>
      </c>
      <c r="L111" s="2">
        <v>12</v>
      </c>
      <c r="M111" s="2">
        <v>5</v>
      </c>
    </row>
    <row r="112" spans="1:13" x14ac:dyDescent="0.35">
      <c r="A112" s="3">
        <v>45037</v>
      </c>
      <c r="B112" s="2" t="s">
        <v>135</v>
      </c>
      <c r="C112" s="2">
        <f t="shared" si="9"/>
        <v>6</v>
      </c>
      <c r="D112" s="2" t="str">
        <f t="shared" si="12"/>
        <v>Weekend</v>
      </c>
      <c r="E112" s="2">
        <f t="shared" si="10"/>
        <v>4</v>
      </c>
      <c r="F112" s="2" t="str">
        <f t="shared" si="13"/>
        <v>Second</v>
      </c>
      <c r="G112" s="2" t="str">
        <f t="shared" si="14"/>
        <v>First</v>
      </c>
      <c r="H112" s="2" t="str">
        <f>LOOKUP(DAYS360(DATE(YEAR(A112),1,0),A112), {0,81,171,263,352}, {"Winter","Spring","Summer","Autumn","Winter"})</f>
        <v>Spring</v>
      </c>
      <c r="I112" s="2">
        <f t="shared" si="11"/>
        <v>2023</v>
      </c>
      <c r="J112" s="2" t="s">
        <v>530</v>
      </c>
      <c r="K112" s="2" t="s">
        <v>736</v>
      </c>
      <c r="L112" s="2">
        <v>19</v>
      </c>
      <c r="M112" s="2">
        <v>5</v>
      </c>
    </row>
    <row r="113" spans="1:13" x14ac:dyDescent="0.35">
      <c r="A113" s="3">
        <v>45038</v>
      </c>
      <c r="B113" s="2" t="s">
        <v>136</v>
      </c>
      <c r="C113" s="2">
        <f t="shared" si="9"/>
        <v>7</v>
      </c>
      <c r="D113" s="2" t="str">
        <f t="shared" si="12"/>
        <v>Weekend</v>
      </c>
      <c r="E113" s="2">
        <f t="shared" si="10"/>
        <v>4</v>
      </c>
      <c r="F113" s="2" t="str">
        <f t="shared" si="13"/>
        <v>Second</v>
      </c>
      <c r="G113" s="2" t="str">
        <f t="shared" si="14"/>
        <v>First</v>
      </c>
      <c r="H113" s="2" t="str">
        <f>LOOKUP(DAYS360(DATE(YEAR(A113),1,0),A113), {0,81,171,263,352}, {"Winter","Spring","Summer","Autumn","Winter"})</f>
        <v>Spring</v>
      </c>
      <c r="I113" s="2">
        <f t="shared" si="11"/>
        <v>2023</v>
      </c>
      <c r="J113" s="2" t="s">
        <v>531</v>
      </c>
      <c r="K113" s="2" t="s">
        <v>736</v>
      </c>
      <c r="L113" s="2">
        <v>6</v>
      </c>
      <c r="M113" s="2">
        <v>19</v>
      </c>
    </row>
    <row r="114" spans="1:13" x14ac:dyDescent="0.35">
      <c r="A114" s="3">
        <v>45039</v>
      </c>
      <c r="B114" s="2" t="s">
        <v>137</v>
      </c>
      <c r="C114" s="2">
        <f t="shared" si="9"/>
        <v>1</v>
      </c>
      <c r="D114" s="2" t="str">
        <f t="shared" si="12"/>
        <v>Workday</v>
      </c>
      <c r="E114" s="2">
        <f t="shared" si="10"/>
        <v>4</v>
      </c>
      <c r="F114" s="2" t="str">
        <f t="shared" si="13"/>
        <v>Second</v>
      </c>
      <c r="G114" s="2" t="str">
        <f t="shared" si="14"/>
        <v>First</v>
      </c>
      <c r="H114" s="2" t="str">
        <f>LOOKUP(DAYS360(DATE(YEAR(A114),1,0),A114), {0,81,171,263,352}, {"Winter","Spring","Summer","Autumn","Winter"})</f>
        <v>Spring</v>
      </c>
      <c r="I114" s="2">
        <f t="shared" si="11"/>
        <v>2023</v>
      </c>
      <c r="J114" s="2" t="s">
        <v>532</v>
      </c>
      <c r="K114" s="2" t="s">
        <v>736</v>
      </c>
      <c r="L114" s="2">
        <v>14</v>
      </c>
      <c r="M114" s="2">
        <v>15</v>
      </c>
    </row>
    <row r="115" spans="1:13" x14ac:dyDescent="0.35">
      <c r="A115" s="3">
        <v>45040</v>
      </c>
      <c r="B115" s="2" t="s">
        <v>138</v>
      </c>
      <c r="C115" s="2">
        <f t="shared" si="9"/>
        <v>2</v>
      </c>
      <c r="D115" s="2" t="str">
        <f t="shared" si="12"/>
        <v>Workday</v>
      </c>
      <c r="E115" s="2">
        <f t="shared" si="10"/>
        <v>4</v>
      </c>
      <c r="F115" s="2" t="str">
        <f t="shared" si="13"/>
        <v>Second</v>
      </c>
      <c r="G115" s="2" t="str">
        <f t="shared" si="14"/>
        <v>First</v>
      </c>
      <c r="H115" s="2" t="str">
        <f>LOOKUP(DAYS360(DATE(YEAR(A115),1,0),A115), {0,81,171,263,352}, {"Winter","Spring","Summer","Autumn","Winter"})</f>
        <v>Spring</v>
      </c>
      <c r="I115" s="2">
        <f t="shared" si="11"/>
        <v>2023</v>
      </c>
      <c r="J115" s="2" t="s">
        <v>533</v>
      </c>
      <c r="K115" s="2" t="s">
        <v>736</v>
      </c>
      <c r="L115" s="2">
        <v>15</v>
      </c>
      <c r="M115" s="2">
        <v>16</v>
      </c>
    </row>
    <row r="116" spans="1:13" x14ac:dyDescent="0.35">
      <c r="A116" s="3">
        <v>45041</v>
      </c>
      <c r="B116" s="2" t="s">
        <v>139</v>
      </c>
      <c r="C116" s="2">
        <f t="shared" si="9"/>
        <v>3</v>
      </c>
      <c r="D116" s="2" t="str">
        <f t="shared" si="12"/>
        <v>Workday</v>
      </c>
      <c r="E116" s="2">
        <f t="shared" si="10"/>
        <v>4</v>
      </c>
      <c r="F116" s="2" t="str">
        <f t="shared" si="13"/>
        <v>Second</v>
      </c>
      <c r="G116" s="2" t="str">
        <f t="shared" si="14"/>
        <v>First</v>
      </c>
      <c r="H116" s="2" t="str">
        <f>LOOKUP(DAYS360(DATE(YEAR(A116),1,0),A116), {0,81,171,263,352}, {"Winter","Spring","Summer","Autumn","Winter"})</f>
        <v>Spring</v>
      </c>
      <c r="I116" s="2">
        <f t="shared" si="11"/>
        <v>2023</v>
      </c>
      <c r="J116" s="2" t="s">
        <v>534</v>
      </c>
      <c r="K116" s="2" t="s">
        <v>736</v>
      </c>
      <c r="L116" s="2">
        <v>2</v>
      </c>
      <c r="M116" s="2">
        <v>2</v>
      </c>
    </row>
    <row r="117" spans="1:13" x14ac:dyDescent="0.35">
      <c r="A117" s="3">
        <v>45042</v>
      </c>
      <c r="B117" s="2" t="s">
        <v>140</v>
      </c>
      <c r="C117" s="2">
        <f t="shared" si="9"/>
        <v>4</v>
      </c>
      <c r="D117" s="2" t="str">
        <f t="shared" si="12"/>
        <v>Workday</v>
      </c>
      <c r="E117" s="2">
        <f t="shared" si="10"/>
        <v>4</v>
      </c>
      <c r="F117" s="2" t="str">
        <f t="shared" si="13"/>
        <v>Second</v>
      </c>
      <c r="G117" s="2" t="str">
        <f t="shared" si="14"/>
        <v>First</v>
      </c>
      <c r="H117" s="2" t="str">
        <f>LOOKUP(DAYS360(DATE(YEAR(A117),1,0),A117), {0,81,171,263,352}, {"Winter","Spring","Summer","Autumn","Winter"})</f>
        <v>Spring</v>
      </c>
      <c r="I117" s="2">
        <f t="shared" si="11"/>
        <v>2023</v>
      </c>
      <c r="J117" s="2" t="s">
        <v>535</v>
      </c>
      <c r="K117" s="2" t="s">
        <v>736</v>
      </c>
      <c r="L117" s="2">
        <v>12</v>
      </c>
      <c r="M117" s="2">
        <v>20</v>
      </c>
    </row>
    <row r="118" spans="1:13" x14ac:dyDescent="0.35">
      <c r="A118" s="3">
        <v>45043</v>
      </c>
      <c r="B118" s="2" t="s">
        <v>141</v>
      </c>
      <c r="C118" s="2">
        <f t="shared" si="9"/>
        <v>5</v>
      </c>
      <c r="D118" s="2" t="str">
        <f t="shared" si="12"/>
        <v>Workday</v>
      </c>
      <c r="E118" s="2">
        <f t="shared" si="10"/>
        <v>4</v>
      </c>
      <c r="F118" s="2" t="str">
        <f t="shared" si="13"/>
        <v>Second</v>
      </c>
      <c r="G118" s="2" t="str">
        <f t="shared" si="14"/>
        <v>First</v>
      </c>
      <c r="H118" s="2" t="str">
        <f>LOOKUP(DAYS360(DATE(YEAR(A118),1,0),A118), {0,81,171,263,352}, {"Winter","Spring","Summer","Autumn","Winter"})</f>
        <v>Spring</v>
      </c>
      <c r="I118" s="2">
        <f t="shared" si="11"/>
        <v>2023</v>
      </c>
      <c r="J118" s="2" t="s">
        <v>536</v>
      </c>
      <c r="K118" s="2" t="s">
        <v>736</v>
      </c>
      <c r="L118" s="2">
        <v>18</v>
      </c>
      <c r="M118" s="2">
        <v>14</v>
      </c>
    </row>
    <row r="119" spans="1:13" x14ac:dyDescent="0.35">
      <c r="A119" s="3">
        <v>45044</v>
      </c>
      <c r="B119" s="2" t="s">
        <v>142</v>
      </c>
      <c r="C119" s="2">
        <f t="shared" si="9"/>
        <v>6</v>
      </c>
      <c r="D119" s="2" t="str">
        <f t="shared" si="12"/>
        <v>Weekend</v>
      </c>
      <c r="E119" s="2">
        <f t="shared" si="10"/>
        <v>4</v>
      </c>
      <c r="F119" s="2" t="str">
        <f t="shared" si="13"/>
        <v>Second</v>
      </c>
      <c r="G119" s="2" t="str">
        <f t="shared" si="14"/>
        <v>First</v>
      </c>
      <c r="H119" s="2" t="str">
        <f>LOOKUP(DAYS360(DATE(YEAR(A119),1,0),A119), {0,81,171,263,352}, {"Winter","Spring","Summer","Autumn","Winter"})</f>
        <v>Spring</v>
      </c>
      <c r="I119" s="2">
        <f t="shared" si="11"/>
        <v>2023</v>
      </c>
      <c r="J119" s="2" t="s">
        <v>537</v>
      </c>
      <c r="K119" s="2" t="s">
        <v>736</v>
      </c>
      <c r="L119" s="2">
        <v>10</v>
      </c>
      <c r="M119" s="2">
        <v>15</v>
      </c>
    </row>
    <row r="120" spans="1:13" x14ac:dyDescent="0.35">
      <c r="A120" s="3">
        <v>45045</v>
      </c>
      <c r="B120" s="2" t="s">
        <v>143</v>
      </c>
      <c r="C120" s="2">
        <f t="shared" si="9"/>
        <v>7</v>
      </c>
      <c r="D120" s="2" t="str">
        <f t="shared" si="12"/>
        <v>Weekend</v>
      </c>
      <c r="E120" s="2">
        <f t="shared" si="10"/>
        <v>4</v>
      </c>
      <c r="F120" s="2" t="str">
        <f t="shared" si="13"/>
        <v>Second</v>
      </c>
      <c r="G120" s="2" t="str">
        <f t="shared" si="14"/>
        <v>First</v>
      </c>
      <c r="H120" s="2" t="str">
        <f>LOOKUP(DAYS360(DATE(YEAR(A120),1,0),A120), {0,81,171,263,352}, {"Winter","Spring","Summer","Autumn","Winter"})</f>
        <v>Spring</v>
      </c>
      <c r="I120" s="2">
        <f t="shared" si="11"/>
        <v>2023</v>
      </c>
      <c r="J120" s="2" t="s">
        <v>538</v>
      </c>
      <c r="K120" s="2" t="s">
        <v>736</v>
      </c>
      <c r="L120" s="2">
        <v>8</v>
      </c>
      <c r="M120" s="2">
        <v>15</v>
      </c>
    </row>
    <row r="121" spans="1:13" x14ac:dyDescent="0.35">
      <c r="A121" s="3">
        <v>45046</v>
      </c>
      <c r="B121" s="2" t="s">
        <v>144</v>
      </c>
      <c r="C121" s="2">
        <f t="shared" si="9"/>
        <v>1</v>
      </c>
      <c r="D121" s="2" t="str">
        <f t="shared" si="12"/>
        <v>Workday</v>
      </c>
      <c r="E121" s="2">
        <f t="shared" si="10"/>
        <v>4</v>
      </c>
      <c r="F121" s="2" t="str">
        <f t="shared" si="13"/>
        <v>Second</v>
      </c>
      <c r="G121" s="2" t="str">
        <f t="shared" si="14"/>
        <v>First</v>
      </c>
      <c r="H121" s="2" t="str">
        <f>LOOKUP(DAYS360(DATE(YEAR(A121),1,0),A121), {0,81,171,263,352}, {"Winter","Spring","Summer","Autumn","Winter"})</f>
        <v>Spring</v>
      </c>
      <c r="I121" s="2">
        <f t="shared" si="11"/>
        <v>2023</v>
      </c>
      <c r="J121" s="2" t="s">
        <v>539</v>
      </c>
      <c r="K121" s="2" t="s">
        <v>736</v>
      </c>
      <c r="L121" s="2">
        <v>9</v>
      </c>
      <c r="M121" s="2">
        <v>1</v>
      </c>
    </row>
    <row r="122" spans="1:13" x14ac:dyDescent="0.35">
      <c r="A122" s="3">
        <v>45047</v>
      </c>
      <c r="B122" s="2" t="s">
        <v>145</v>
      </c>
      <c r="C122" s="2">
        <f t="shared" si="9"/>
        <v>2</v>
      </c>
      <c r="D122" s="2" t="str">
        <f t="shared" si="12"/>
        <v>Workday</v>
      </c>
      <c r="E122" s="2">
        <f t="shared" si="10"/>
        <v>5</v>
      </c>
      <c r="F122" s="2" t="str">
        <f t="shared" si="13"/>
        <v>Second</v>
      </c>
      <c r="G122" s="2" t="str">
        <f t="shared" si="14"/>
        <v>First</v>
      </c>
      <c r="H122" s="2" t="str">
        <f>LOOKUP(DAYS360(DATE(YEAR(A122),1,0),A122), {0,81,171,263,352}, {"Winter","Spring","Summer","Autumn","Winter"})</f>
        <v>Spring</v>
      </c>
      <c r="I122" s="2">
        <f t="shared" si="11"/>
        <v>2023</v>
      </c>
      <c r="J122" s="2" t="s">
        <v>540</v>
      </c>
      <c r="K122" s="2" t="s">
        <v>738</v>
      </c>
      <c r="L122" s="2">
        <v>18</v>
      </c>
      <c r="M122" s="2">
        <v>12</v>
      </c>
    </row>
    <row r="123" spans="1:13" x14ac:dyDescent="0.35">
      <c r="A123" s="3">
        <v>45048</v>
      </c>
      <c r="B123" s="2" t="s">
        <v>146</v>
      </c>
      <c r="C123" s="2">
        <f t="shared" si="9"/>
        <v>3</v>
      </c>
      <c r="D123" s="2" t="str">
        <f t="shared" si="12"/>
        <v>Workday</v>
      </c>
      <c r="E123" s="2">
        <f t="shared" si="10"/>
        <v>5</v>
      </c>
      <c r="F123" s="2" t="str">
        <f t="shared" si="13"/>
        <v>Second</v>
      </c>
      <c r="G123" s="2" t="str">
        <f t="shared" si="14"/>
        <v>First</v>
      </c>
      <c r="H123" s="2" t="str">
        <f>LOOKUP(DAYS360(DATE(YEAR(A123),1,0),A123), {0,81,171,263,352}, {"Winter","Spring","Summer","Autumn","Winter"})</f>
        <v>Spring</v>
      </c>
      <c r="I123" s="2">
        <f t="shared" si="11"/>
        <v>2023</v>
      </c>
      <c r="J123" s="2" t="s">
        <v>541</v>
      </c>
      <c r="K123" s="2" t="s">
        <v>738</v>
      </c>
      <c r="L123" s="2">
        <v>7</v>
      </c>
      <c r="M123" s="2">
        <v>12</v>
      </c>
    </row>
    <row r="124" spans="1:13" x14ac:dyDescent="0.35">
      <c r="A124" s="3">
        <v>45049</v>
      </c>
      <c r="B124" s="2" t="s">
        <v>147</v>
      </c>
      <c r="C124" s="2">
        <f t="shared" si="9"/>
        <v>4</v>
      </c>
      <c r="D124" s="2" t="str">
        <f t="shared" si="12"/>
        <v>Workday</v>
      </c>
      <c r="E124" s="2">
        <f t="shared" si="10"/>
        <v>5</v>
      </c>
      <c r="F124" s="2" t="str">
        <f t="shared" si="13"/>
        <v>Second</v>
      </c>
      <c r="G124" s="2" t="str">
        <f t="shared" si="14"/>
        <v>First</v>
      </c>
      <c r="H124" s="2" t="str">
        <f>LOOKUP(DAYS360(DATE(YEAR(A124),1,0),A124), {0,81,171,263,352}, {"Winter","Spring","Summer","Autumn","Winter"})</f>
        <v>Spring</v>
      </c>
      <c r="I124" s="2">
        <f t="shared" si="11"/>
        <v>2023</v>
      </c>
      <c r="J124" s="2" t="s">
        <v>542</v>
      </c>
      <c r="K124" s="2" t="s">
        <v>738</v>
      </c>
      <c r="L124" s="2">
        <v>3</v>
      </c>
      <c r="M124" s="2">
        <v>7</v>
      </c>
    </row>
    <row r="125" spans="1:13" x14ac:dyDescent="0.35">
      <c r="A125" s="3">
        <v>45050</v>
      </c>
      <c r="B125" s="2" t="s">
        <v>148</v>
      </c>
      <c r="C125" s="2">
        <f t="shared" si="9"/>
        <v>5</v>
      </c>
      <c r="D125" s="2" t="str">
        <f t="shared" si="12"/>
        <v>Workday</v>
      </c>
      <c r="E125" s="2">
        <f t="shared" si="10"/>
        <v>5</v>
      </c>
      <c r="F125" s="2" t="str">
        <f t="shared" si="13"/>
        <v>Second</v>
      </c>
      <c r="G125" s="2" t="str">
        <f t="shared" si="14"/>
        <v>First</v>
      </c>
      <c r="H125" s="2" t="str">
        <f>LOOKUP(DAYS360(DATE(YEAR(A125),1,0),A125), {0,81,171,263,352}, {"Winter","Spring","Summer","Autumn","Winter"})</f>
        <v>Spring</v>
      </c>
      <c r="I125" s="2">
        <f t="shared" si="11"/>
        <v>2023</v>
      </c>
      <c r="J125" s="2" t="s">
        <v>543</v>
      </c>
      <c r="K125" s="2" t="s">
        <v>738</v>
      </c>
      <c r="L125" s="2">
        <v>15</v>
      </c>
      <c r="M125" s="2">
        <v>6</v>
      </c>
    </row>
    <row r="126" spans="1:13" x14ac:dyDescent="0.35">
      <c r="A126" s="3">
        <v>45051</v>
      </c>
      <c r="B126" s="2" t="s">
        <v>149</v>
      </c>
      <c r="C126" s="2">
        <f t="shared" si="9"/>
        <v>6</v>
      </c>
      <c r="D126" s="2" t="str">
        <f t="shared" si="12"/>
        <v>Weekend</v>
      </c>
      <c r="E126" s="2">
        <f t="shared" si="10"/>
        <v>5</v>
      </c>
      <c r="F126" s="2" t="str">
        <f t="shared" si="13"/>
        <v>Second</v>
      </c>
      <c r="G126" s="2" t="str">
        <f t="shared" si="14"/>
        <v>First</v>
      </c>
      <c r="H126" s="2" t="str">
        <f>LOOKUP(DAYS360(DATE(YEAR(A126),1,0),A126), {0,81,171,263,352}, {"Winter","Spring","Summer","Autumn","Winter"})</f>
        <v>Spring</v>
      </c>
      <c r="I126" s="2">
        <f t="shared" si="11"/>
        <v>2023</v>
      </c>
      <c r="J126" s="2" t="s">
        <v>544</v>
      </c>
      <c r="K126" s="2" t="s">
        <v>738</v>
      </c>
      <c r="L126" s="2">
        <v>16</v>
      </c>
      <c r="M126" s="2">
        <v>15</v>
      </c>
    </row>
    <row r="127" spans="1:13" x14ac:dyDescent="0.35">
      <c r="A127" s="3">
        <v>45052</v>
      </c>
      <c r="B127" s="2" t="s">
        <v>150</v>
      </c>
      <c r="C127" s="2">
        <f t="shared" si="9"/>
        <v>7</v>
      </c>
      <c r="D127" s="2" t="str">
        <f t="shared" si="12"/>
        <v>Weekend</v>
      </c>
      <c r="E127" s="2">
        <f t="shared" si="10"/>
        <v>5</v>
      </c>
      <c r="F127" s="2" t="str">
        <f t="shared" si="13"/>
        <v>Second</v>
      </c>
      <c r="G127" s="2" t="str">
        <f t="shared" si="14"/>
        <v>First</v>
      </c>
      <c r="H127" s="2" t="str">
        <f>LOOKUP(DAYS360(DATE(YEAR(A127),1,0),A127), {0,81,171,263,352}, {"Winter","Spring","Summer","Autumn","Winter"})</f>
        <v>Spring</v>
      </c>
      <c r="I127" s="2">
        <f t="shared" si="11"/>
        <v>2023</v>
      </c>
      <c r="J127" s="2" t="s">
        <v>545</v>
      </c>
      <c r="K127" s="2" t="s">
        <v>738</v>
      </c>
      <c r="L127" s="2">
        <v>17</v>
      </c>
      <c r="M127" s="2">
        <v>5</v>
      </c>
    </row>
    <row r="128" spans="1:13" x14ac:dyDescent="0.35">
      <c r="A128" s="3">
        <v>45053</v>
      </c>
      <c r="B128" s="2" t="s">
        <v>151</v>
      </c>
      <c r="C128" s="2">
        <f t="shared" si="9"/>
        <v>1</v>
      </c>
      <c r="D128" s="2" t="str">
        <f t="shared" si="12"/>
        <v>Workday</v>
      </c>
      <c r="E128" s="2">
        <f t="shared" si="10"/>
        <v>5</v>
      </c>
      <c r="F128" s="2" t="str">
        <f t="shared" si="13"/>
        <v>Second</v>
      </c>
      <c r="G128" s="2" t="str">
        <f t="shared" si="14"/>
        <v>First</v>
      </c>
      <c r="H128" s="2" t="str">
        <f>LOOKUP(DAYS360(DATE(YEAR(A128),1,0),A128), {0,81,171,263,352}, {"Winter","Spring","Summer","Autumn","Winter"})</f>
        <v>Spring</v>
      </c>
      <c r="I128" s="2">
        <f t="shared" si="11"/>
        <v>2023</v>
      </c>
      <c r="J128" s="2" t="s">
        <v>546</v>
      </c>
      <c r="K128" s="2" t="s">
        <v>738</v>
      </c>
      <c r="L128" s="2">
        <v>13</v>
      </c>
      <c r="M128" s="2">
        <v>15</v>
      </c>
    </row>
    <row r="129" spans="1:13" x14ac:dyDescent="0.35">
      <c r="A129" s="3">
        <v>45054</v>
      </c>
      <c r="B129" s="2" t="s">
        <v>152</v>
      </c>
      <c r="C129" s="2">
        <f t="shared" si="9"/>
        <v>2</v>
      </c>
      <c r="D129" s="2" t="str">
        <f t="shared" si="12"/>
        <v>Workday</v>
      </c>
      <c r="E129" s="2">
        <f t="shared" si="10"/>
        <v>5</v>
      </c>
      <c r="F129" s="2" t="str">
        <f t="shared" si="13"/>
        <v>Second</v>
      </c>
      <c r="G129" s="2" t="str">
        <f t="shared" si="14"/>
        <v>First</v>
      </c>
      <c r="H129" s="2" t="str">
        <f>LOOKUP(DAYS360(DATE(YEAR(A129),1,0),A129), {0,81,171,263,352}, {"Winter","Spring","Summer","Autumn","Winter"})</f>
        <v>Spring</v>
      </c>
      <c r="I129" s="2">
        <f t="shared" si="11"/>
        <v>2023</v>
      </c>
      <c r="J129" s="2" t="s">
        <v>547</v>
      </c>
      <c r="K129" s="2" t="s">
        <v>738</v>
      </c>
      <c r="L129" s="2">
        <v>3</v>
      </c>
      <c r="M129" s="2">
        <v>1</v>
      </c>
    </row>
    <row r="130" spans="1:13" x14ac:dyDescent="0.35">
      <c r="A130" s="3">
        <v>45055</v>
      </c>
      <c r="B130" s="2" t="s">
        <v>153</v>
      </c>
      <c r="C130" s="2">
        <f t="shared" ref="C130:C193" si="15">WEEKDAY(A130)</f>
        <v>3</v>
      </c>
      <c r="D130" s="2" t="str">
        <f t="shared" si="12"/>
        <v>Workday</v>
      </c>
      <c r="E130" s="2">
        <f t="shared" ref="E130:E193" si="16">MONTH(A130)</f>
        <v>5</v>
      </c>
      <c r="F130" s="2" t="str">
        <f t="shared" si="13"/>
        <v>Second</v>
      </c>
      <c r="G130" s="2" t="str">
        <f t="shared" si="14"/>
        <v>First</v>
      </c>
      <c r="H130" s="2" t="str">
        <f>LOOKUP(DAYS360(DATE(YEAR(A130),1,0),A130), {0,81,171,263,352}, {"Winter","Spring","Summer","Autumn","Winter"})</f>
        <v>Spring</v>
      </c>
      <c r="I130" s="2">
        <f t="shared" ref="I130:I193" si="17">YEAR(A130)</f>
        <v>2023</v>
      </c>
      <c r="J130" s="2" t="s">
        <v>548</v>
      </c>
      <c r="K130" s="2" t="s">
        <v>738</v>
      </c>
      <c r="L130" s="2">
        <v>14</v>
      </c>
      <c r="M130" s="2">
        <v>8</v>
      </c>
    </row>
    <row r="131" spans="1:13" x14ac:dyDescent="0.35">
      <c r="A131" s="3">
        <v>45056</v>
      </c>
      <c r="B131" s="2" t="s">
        <v>154</v>
      </c>
      <c r="C131" s="2">
        <f t="shared" si="15"/>
        <v>4</v>
      </c>
      <c r="D131" s="2" t="str">
        <f t="shared" si="12"/>
        <v>Workday</v>
      </c>
      <c r="E131" s="2">
        <f t="shared" si="16"/>
        <v>5</v>
      </c>
      <c r="F131" s="2" t="str">
        <f t="shared" si="13"/>
        <v>Second</v>
      </c>
      <c r="G131" s="2" t="str">
        <f t="shared" si="14"/>
        <v>First</v>
      </c>
      <c r="H131" s="2" t="str">
        <f>LOOKUP(DAYS360(DATE(YEAR(A131),1,0),A131), {0,81,171,263,352}, {"Winter","Spring","Summer","Autumn","Winter"})</f>
        <v>Spring</v>
      </c>
      <c r="I131" s="2">
        <f t="shared" si="17"/>
        <v>2023</v>
      </c>
      <c r="J131" s="2" t="s">
        <v>405</v>
      </c>
      <c r="K131" s="2" t="s">
        <v>738</v>
      </c>
      <c r="L131" s="2">
        <v>6</v>
      </c>
      <c r="M131" s="2">
        <v>9</v>
      </c>
    </row>
    <row r="132" spans="1:13" x14ac:dyDescent="0.35">
      <c r="A132" s="3">
        <v>45057</v>
      </c>
      <c r="B132" s="2" t="s">
        <v>155</v>
      </c>
      <c r="C132" s="2">
        <f t="shared" si="15"/>
        <v>5</v>
      </c>
      <c r="D132" s="2" t="str">
        <f t="shared" si="12"/>
        <v>Workday</v>
      </c>
      <c r="E132" s="2">
        <f t="shared" si="16"/>
        <v>5</v>
      </c>
      <c r="F132" s="2" t="str">
        <f t="shared" si="13"/>
        <v>Second</v>
      </c>
      <c r="G132" s="2" t="str">
        <f t="shared" si="14"/>
        <v>First</v>
      </c>
      <c r="H132" s="2" t="str">
        <f>LOOKUP(DAYS360(DATE(YEAR(A132),1,0),A132), {0,81,171,263,352}, {"Winter","Spring","Summer","Autumn","Winter"})</f>
        <v>Spring</v>
      </c>
      <c r="I132" s="2">
        <f t="shared" si="17"/>
        <v>2023</v>
      </c>
      <c r="J132" s="2" t="s">
        <v>549</v>
      </c>
      <c r="K132" s="2" t="s">
        <v>738</v>
      </c>
      <c r="L132" s="2">
        <v>11</v>
      </c>
      <c r="M132" s="2">
        <v>16</v>
      </c>
    </row>
    <row r="133" spans="1:13" x14ac:dyDescent="0.35">
      <c r="A133" s="3">
        <v>45058</v>
      </c>
      <c r="B133" s="2" t="s">
        <v>156</v>
      </c>
      <c r="C133" s="2">
        <f t="shared" si="15"/>
        <v>6</v>
      </c>
      <c r="D133" s="2" t="str">
        <f t="shared" si="12"/>
        <v>Weekend</v>
      </c>
      <c r="E133" s="2">
        <f t="shared" si="16"/>
        <v>5</v>
      </c>
      <c r="F133" s="2" t="str">
        <f t="shared" si="13"/>
        <v>Second</v>
      </c>
      <c r="G133" s="2" t="str">
        <f t="shared" si="14"/>
        <v>First</v>
      </c>
      <c r="H133" s="2" t="str">
        <f>LOOKUP(DAYS360(DATE(YEAR(A133),1,0),A133), {0,81,171,263,352}, {"Winter","Spring","Summer","Autumn","Winter"})</f>
        <v>Spring</v>
      </c>
      <c r="I133" s="2">
        <f t="shared" si="17"/>
        <v>2023</v>
      </c>
      <c r="J133" s="2" t="s">
        <v>417</v>
      </c>
      <c r="K133" s="2" t="s">
        <v>738</v>
      </c>
      <c r="L133" s="2">
        <v>9</v>
      </c>
      <c r="M133" s="2">
        <v>13</v>
      </c>
    </row>
    <row r="134" spans="1:13" x14ac:dyDescent="0.35">
      <c r="A134" s="3">
        <v>45059</v>
      </c>
      <c r="B134" s="2" t="s">
        <v>157</v>
      </c>
      <c r="C134" s="2">
        <f t="shared" si="15"/>
        <v>7</v>
      </c>
      <c r="D134" s="2" t="str">
        <f t="shared" si="12"/>
        <v>Weekend</v>
      </c>
      <c r="E134" s="2">
        <f t="shared" si="16"/>
        <v>5</v>
      </c>
      <c r="F134" s="2" t="str">
        <f t="shared" si="13"/>
        <v>Second</v>
      </c>
      <c r="G134" s="2" t="str">
        <f t="shared" si="14"/>
        <v>First</v>
      </c>
      <c r="H134" s="2" t="str">
        <f>LOOKUP(DAYS360(DATE(YEAR(A134),1,0),A134), {0,81,171,263,352}, {"Winter","Spring","Summer","Autumn","Winter"})</f>
        <v>Spring</v>
      </c>
      <c r="I134" s="2">
        <f t="shared" si="17"/>
        <v>2023</v>
      </c>
      <c r="J134" s="2" t="s">
        <v>550</v>
      </c>
      <c r="K134" s="2" t="s">
        <v>738</v>
      </c>
      <c r="L134" s="2">
        <v>17</v>
      </c>
      <c r="M134" s="2">
        <v>9</v>
      </c>
    </row>
    <row r="135" spans="1:13" x14ac:dyDescent="0.35">
      <c r="A135" s="3">
        <v>45060</v>
      </c>
      <c r="B135" s="2" t="s">
        <v>158</v>
      </c>
      <c r="C135" s="2">
        <f t="shared" si="15"/>
        <v>1</v>
      </c>
      <c r="D135" s="2" t="str">
        <f t="shared" si="12"/>
        <v>Workday</v>
      </c>
      <c r="E135" s="2">
        <f t="shared" si="16"/>
        <v>5</v>
      </c>
      <c r="F135" s="2" t="str">
        <f t="shared" si="13"/>
        <v>Second</v>
      </c>
      <c r="G135" s="2" t="str">
        <f t="shared" si="14"/>
        <v>First</v>
      </c>
      <c r="H135" s="2" t="str">
        <f>LOOKUP(DAYS360(DATE(YEAR(A135),1,0),A135), {0,81,171,263,352}, {"Winter","Spring","Summer","Autumn","Winter"})</f>
        <v>Spring</v>
      </c>
      <c r="I135" s="2">
        <f t="shared" si="17"/>
        <v>2023</v>
      </c>
      <c r="J135" s="2" t="s">
        <v>551</v>
      </c>
      <c r="K135" s="2" t="s">
        <v>738</v>
      </c>
      <c r="L135" s="2">
        <v>13</v>
      </c>
      <c r="M135" s="2">
        <v>1</v>
      </c>
    </row>
    <row r="136" spans="1:13" x14ac:dyDescent="0.35">
      <c r="A136" s="3">
        <v>45061</v>
      </c>
      <c r="B136" s="2" t="s">
        <v>159</v>
      </c>
      <c r="C136" s="2">
        <f t="shared" si="15"/>
        <v>2</v>
      </c>
      <c r="D136" s="2" t="str">
        <f t="shared" si="12"/>
        <v>Workday</v>
      </c>
      <c r="E136" s="2">
        <f t="shared" si="16"/>
        <v>5</v>
      </c>
      <c r="F136" s="2" t="str">
        <f t="shared" si="13"/>
        <v>Second</v>
      </c>
      <c r="G136" s="2" t="str">
        <f t="shared" si="14"/>
        <v>First</v>
      </c>
      <c r="H136" s="2" t="str">
        <f>LOOKUP(DAYS360(DATE(YEAR(A136),1,0),A136), {0,81,171,263,352}, {"Winter","Spring","Summer","Autumn","Winter"})</f>
        <v>Spring</v>
      </c>
      <c r="I136" s="2">
        <f t="shared" si="17"/>
        <v>2023</v>
      </c>
      <c r="J136" s="2" t="s">
        <v>552</v>
      </c>
      <c r="K136" s="2" t="s">
        <v>738</v>
      </c>
      <c r="L136" s="2">
        <v>15</v>
      </c>
      <c r="M136" s="2">
        <v>8</v>
      </c>
    </row>
    <row r="137" spans="1:13" x14ac:dyDescent="0.35">
      <c r="A137" s="3">
        <v>45062</v>
      </c>
      <c r="B137" s="2" t="s">
        <v>160</v>
      </c>
      <c r="C137" s="2">
        <f t="shared" si="15"/>
        <v>3</v>
      </c>
      <c r="D137" s="2" t="str">
        <f t="shared" si="12"/>
        <v>Workday</v>
      </c>
      <c r="E137" s="2">
        <f t="shared" si="16"/>
        <v>5</v>
      </c>
      <c r="F137" s="2" t="str">
        <f t="shared" si="13"/>
        <v>Second</v>
      </c>
      <c r="G137" s="2" t="str">
        <f t="shared" si="14"/>
        <v>First</v>
      </c>
      <c r="H137" s="2" t="str">
        <f>LOOKUP(DAYS360(DATE(YEAR(A137),1,0),A137), {0,81,171,263,352}, {"Winter","Spring","Summer","Autumn","Winter"})</f>
        <v>Spring</v>
      </c>
      <c r="I137" s="2">
        <f t="shared" si="17"/>
        <v>2023</v>
      </c>
      <c r="J137" s="2" t="s">
        <v>428</v>
      </c>
      <c r="K137" s="2" t="s">
        <v>738</v>
      </c>
      <c r="L137" s="2">
        <v>4</v>
      </c>
      <c r="M137" s="2">
        <v>9</v>
      </c>
    </row>
    <row r="138" spans="1:13" x14ac:dyDescent="0.35">
      <c r="A138" s="3">
        <v>45063</v>
      </c>
      <c r="B138" s="2" t="s">
        <v>161</v>
      </c>
      <c r="C138" s="2">
        <f t="shared" si="15"/>
        <v>4</v>
      </c>
      <c r="D138" s="2" t="str">
        <f t="shared" si="12"/>
        <v>Workday</v>
      </c>
      <c r="E138" s="2">
        <f t="shared" si="16"/>
        <v>5</v>
      </c>
      <c r="F138" s="2" t="str">
        <f t="shared" si="13"/>
        <v>Second</v>
      </c>
      <c r="G138" s="2" t="str">
        <f t="shared" si="14"/>
        <v>First</v>
      </c>
      <c r="H138" s="2" t="str">
        <f>LOOKUP(DAYS360(DATE(YEAR(A138),1,0),A138), {0,81,171,263,352}, {"Winter","Spring","Summer","Autumn","Winter"})</f>
        <v>Spring</v>
      </c>
      <c r="I138" s="2">
        <f t="shared" si="17"/>
        <v>2023</v>
      </c>
      <c r="J138" s="2" t="s">
        <v>553</v>
      </c>
      <c r="K138" s="2" t="s">
        <v>738</v>
      </c>
      <c r="L138" s="2">
        <v>20</v>
      </c>
      <c r="M138" s="2">
        <v>15</v>
      </c>
    </row>
    <row r="139" spans="1:13" x14ac:dyDescent="0.35">
      <c r="A139" s="3">
        <v>45064</v>
      </c>
      <c r="B139" s="2" t="s">
        <v>162</v>
      </c>
      <c r="C139" s="2">
        <f t="shared" si="15"/>
        <v>5</v>
      </c>
      <c r="D139" s="2" t="str">
        <f t="shared" si="12"/>
        <v>Workday</v>
      </c>
      <c r="E139" s="2">
        <f t="shared" si="16"/>
        <v>5</v>
      </c>
      <c r="F139" s="2" t="str">
        <f t="shared" si="13"/>
        <v>Second</v>
      </c>
      <c r="G139" s="2" t="str">
        <f t="shared" si="14"/>
        <v>First</v>
      </c>
      <c r="H139" s="2" t="str">
        <f>LOOKUP(DAYS360(DATE(YEAR(A139),1,0),A139), {0,81,171,263,352}, {"Winter","Spring","Summer","Autumn","Winter"})</f>
        <v>Spring</v>
      </c>
      <c r="I139" s="2">
        <f t="shared" si="17"/>
        <v>2023</v>
      </c>
      <c r="J139" s="2" t="s">
        <v>383</v>
      </c>
      <c r="K139" s="2" t="s">
        <v>738</v>
      </c>
      <c r="L139" s="2">
        <v>1</v>
      </c>
      <c r="M139" s="2">
        <v>18</v>
      </c>
    </row>
    <row r="140" spans="1:13" x14ac:dyDescent="0.35">
      <c r="A140" s="3">
        <v>45065</v>
      </c>
      <c r="B140" s="2" t="s">
        <v>163</v>
      </c>
      <c r="C140" s="2">
        <f t="shared" si="15"/>
        <v>6</v>
      </c>
      <c r="D140" s="2" t="str">
        <f t="shared" si="12"/>
        <v>Weekend</v>
      </c>
      <c r="E140" s="2">
        <f t="shared" si="16"/>
        <v>5</v>
      </c>
      <c r="F140" s="2" t="str">
        <f t="shared" si="13"/>
        <v>Second</v>
      </c>
      <c r="G140" s="2" t="str">
        <f t="shared" si="14"/>
        <v>First</v>
      </c>
      <c r="H140" s="2" t="str">
        <f>LOOKUP(DAYS360(DATE(YEAR(A140),1,0),A140), {0,81,171,263,352}, {"Winter","Spring","Summer","Autumn","Winter"})</f>
        <v>Spring</v>
      </c>
      <c r="I140" s="2">
        <f t="shared" si="17"/>
        <v>2023</v>
      </c>
      <c r="J140" s="2" t="s">
        <v>554</v>
      </c>
      <c r="K140" s="2" t="s">
        <v>738</v>
      </c>
      <c r="L140" s="2">
        <v>7</v>
      </c>
      <c r="M140" s="2">
        <v>7</v>
      </c>
    </row>
    <row r="141" spans="1:13" x14ac:dyDescent="0.35">
      <c r="A141" s="3">
        <v>45066</v>
      </c>
      <c r="B141" s="2" t="s">
        <v>164</v>
      </c>
      <c r="C141" s="2">
        <f t="shared" si="15"/>
        <v>7</v>
      </c>
      <c r="D141" s="2" t="str">
        <f t="shared" si="12"/>
        <v>Weekend</v>
      </c>
      <c r="E141" s="2">
        <f t="shared" si="16"/>
        <v>5</v>
      </c>
      <c r="F141" s="2" t="str">
        <f t="shared" si="13"/>
        <v>Second</v>
      </c>
      <c r="G141" s="2" t="str">
        <f t="shared" si="14"/>
        <v>First</v>
      </c>
      <c r="H141" s="2" t="str">
        <f>LOOKUP(DAYS360(DATE(YEAR(A141),1,0),A141), {0,81,171,263,352}, {"Winter","Spring","Summer","Autumn","Winter"})</f>
        <v>Spring</v>
      </c>
      <c r="I141" s="2">
        <f t="shared" si="17"/>
        <v>2023</v>
      </c>
      <c r="J141" s="2" t="s">
        <v>555</v>
      </c>
      <c r="K141" s="2" t="s">
        <v>738</v>
      </c>
      <c r="L141" s="2">
        <v>20</v>
      </c>
      <c r="M141" s="2">
        <v>15</v>
      </c>
    </row>
    <row r="142" spans="1:13" x14ac:dyDescent="0.35">
      <c r="A142" s="3">
        <v>45067</v>
      </c>
      <c r="B142" s="2" t="s">
        <v>165</v>
      </c>
      <c r="C142" s="2">
        <f t="shared" si="15"/>
        <v>1</v>
      </c>
      <c r="D142" s="2" t="str">
        <f t="shared" si="12"/>
        <v>Workday</v>
      </c>
      <c r="E142" s="2">
        <f t="shared" si="16"/>
        <v>5</v>
      </c>
      <c r="F142" s="2" t="str">
        <f t="shared" si="13"/>
        <v>Second</v>
      </c>
      <c r="G142" s="2" t="str">
        <f t="shared" si="14"/>
        <v>First</v>
      </c>
      <c r="H142" s="2" t="str">
        <f>LOOKUP(DAYS360(DATE(YEAR(A142),1,0),A142), {0,81,171,263,352}, {"Winter","Spring","Summer","Autumn","Winter"})</f>
        <v>Spring</v>
      </c>
      <c r="I142" s="2">
        <f t="shared" si="17"/>
        <v>2023</v>
      </c>
      <c r="J142" s="2" t="s">
        <v>556</v>
      </c>
      <c r="K142" s="2" t="s">
        <v>738</v>
      </c>
      <c r="L142" s="2">
        <v>15</v>
      </c>
      <c r="M142" s="2">
        <v>3</v>
      </c>
    </row>
    <row r="143" spans="1:13" x14ac:dyDescent="0.35">
      <c r="A143" s="3">
        <v>45068</v>
      </c>
      <c r="B143" s="2" t="s">
        <v>166</v>
      </c>
      <c r="C143" s="2">
        <f t="shared" si="15"/>
        <v>2</v>
      </c>
      <c r="D143" s="2" t="str">
        <f t="shared" si="12"/>
        <v>Workday</v>
      </c>
      <c r="E143" s="2">
        <f t="shared" si="16"/>
        <v>5</v>
      </c>
      <c r="F143" s="2" t="str">
        <f t="shared" si="13"/>
        <v>Second</v>
      </c>
      <c r="G143" s="2" t="str">
        <f t="shared" si="14"/>
        <v>First</v>
      </c>
      <c r="H143" s="2" t="str">
        <f>LOOKUP(DAYS360(DATE(YEAR(A143),1,0),A143), {0,81,171,263,352}, {"Winter","Spring","Summer","Autumn","Winter"})</f>
        <v>Spring</v>
      </c>
      <c r="I143" s="2">
        <f t="shared" si="17"/>
        <v>2023</v>
      </c>
      <c r="J143" s="2" t="s">
        <v>557</v>
      </c>
      <c r="K143" s="2" t="s">
        <v>738</v>
      </c>
      <c r="L143" s="2">
        <v>12</v>
      </c>
      <c r="M143" s="2">
        <v>20</v>
      </c>
    </row>
    <row r="144" spans="1:13" x14ac:dyDescent="0.35">
      <c r="A144" s="3">
        <v>45069</v>
      </c>
      <c r="B144" s="2" t="s">
        <v>167</v>
      </c>
      <c r="C144" s="2">
        <f t="shared" si="15"/>
        <v>3</v>
      </c>
      <c r="D144" s="2" t="str">
        <f t="shared" si="12"/>
        <v>Workday</v>
      </c>
      <c r="E144" s="2">
        <f t="shared" si="16"/>
        <v>5</v>
      </c>
      <c r="F144" s="2" t="str">
        <f t="shared" si="13"/>
        <v>Second</v>
      </c>
      <c r="G144" s="2" t="str">
        <f t="shared" si="14"/>
        <v>First</v>
      </c>
      <c r="H144" s="2" t="str">
        <f>LOOKUP(DAYS360(DATE(YEAR(A144),1,0),A144), {0,81,171,263,352}, {"Winter","Spring","Summer","Autumn","Winter"})</f>
        <v>Spring</v>
      </c>
      <c r="I144" s="2">
        <f t="shared" si="17"/>
        <v>2023</v>
      </c>
      <c r="J144" s="2" t="s">
        <v>388</v>
      </c>
      <c r="K144" s="2" t="s">
        <v>738</v>
      </c>
      <c r="L144" s="2">
        <v>15</v>
      </c>
      <c r="M144" s="2">
        <v>12</v>
      </c>
    </row>
    <row r="145" spans="1:13" x14ac:dyDescent="0.35">
      <c r="A145" s="3">
        <v>45070</v>
      </c>
      <c r="B145" s="2" t="s">
        <v>168</v>
      </c>
      <c r="C145" s="2">
        <f t="shared" si="15"/>
        <v>4</v>
      </c>
      <c r="D145" s="2" t="str">
        <f t="shared" si="12"/>
        <v>Workday</v>
      </c>
      <c r="E145" s="2">
        <f t="shared" si="16"/>
        <v>5</v>
      </c>
      <c r="F145" s="2" t="str">
        <f t="shared" si="13"/>
        <v>Second</v>
      </c>
      <c r="G145" s="2" t="str">
        <f t="shared" si="14"/>
        <v>First</v>
      </c>
      <c r="H145" s="2" t="str">
        <f>LOOKUP(DAYS360(DATE(YEAR(A145),1,0),A145), {0,81,171,263,352}, {"Winter","Spring","Summer","Autumn","Winter"})</f>
        <v>Spring</v>
      </c>
      <c r="I145" s="2">
        <f t="shared" si="17"/>
        <v>2023</v>
      </c>
      <c r="J145" s="2" t="s">
        <v>558</v>
      </c>
      <c r="K145" s="2" t="s">
        <v>738</v>
      </c>
      <c r="L145" s="2">
        <v>7</v>
      </c>
      <c r="M145" s="2">
        <v>9</v>
      </c>
    </row>
    <row r="146" spans="1:13" x14ac:dyDescent="0.35">
      <c r="A146" s="3">
        <v>45071</v>
      </c>
      <c r="B146" s="2" t="s">
        <v>169</v>
      </c>
      <c r="C146" s="2">
        <f t="shared" si="15"/>
        <v>5</v>
      </c>
      <c r="D146" s="2" t="str">
        <f t="shared" si="12"/>
        <v>Workday</v>
      </c>
      <c r="E146" s="2">
        <f t="shared" si="16"/>
        <v>5</v>
      </c>
      <c r="F146" s="2" t="str">
        <f t="shared" si="13"/>
        <v>Second</v>
      </c>
      <c r="G146" s="2" t="str">
        <f t="shared" si="14"/>
        <v>First</v>
      </c>
      <c r="H146" s="2" t="str">
        <f>LOOKUP(DAYS360(DATE(YEAR(A146),1,0),A146), {0,81,171,263,352}, {"Winter","Spring","Summer","Autumn","Winter"})</f>
        <v>Spring</v>
      </c>
      <c r="I146" s="2">
        <f t="shared" si="17"/>
        <v>2023</v>
      </c>
      <c r="J146" s="2" t="s">
        <v>211</v>
      </c>
      <c r="K146" s="2" t="s">
        <v>738</v>
      </c>
      <c r="L146" s="2">
        <v>19</v>
      </c>
      <c r="M146" s="2">
        <v>17</v>
      </c>
    </row>
    <row r="147" spans="1:13" x14ac:dyDescent="0.35">
      <c r="A147" s="3">
        <v>45072</v>
      </c>
      <c r="B147" s="2" t="s">
        <v>170</v>
      </c>
      <c r="C147" s="2">
        <f t="shared" si="15"/>
        <v>6</v>
      </c>
      <c r="D147" s="2" t="str">
        <f t="shared" si="12"/>
        <v>Weekend</v>
      </c>
      <c r="E147" s="2">
        <f t="shared" si="16"/>
        <v>5</v>
      </c>
      <c r="F147" s="2" t="str">
        <f t="shared" si="13"/>
        <v>Second</v>
      </c>
      <c r="G147" s="2" t="str">
        <f t="shared" si="14"/>
        <v>First</v>
      </c>
      <c r="H147" s="2" t="str">
        <f>LOOKUP(DAYS360(DATE(YEAR(A147),1,0),A147), {0,81,171,263,352}, {"Winter","Spring","Summer","Autumn","Winter"})</f>
        <v>Spring</v>
      </c>
      <c r="I147" s="2">
        <f t="shared" si="17"/>
        <v>2023</v>
      </c>
      <c r="J147" s="2" t="s">
        <v>429</v>
      </c>
      <c r="K147" s="2" t="s">
        <v>738</v>
      </c>
      <c r="L147" s="2">
        <v>3</v>
      </c>
      <c r="M147" s="2">
        <v>11</v>
      </c>
    </row>
    <row r="148" spans="1:13" x14ac:dyDescent="0.35">
      <c r="A148" s="3">
        <v>45073</v>
      </c>
      <c r="B148" s="2" t="s">
        <v>171</v>
      </c>
      <c r="C148" s="2">
        <f t="shared" si="15"/>
        <v>7</v>
      </c>
      <c r="D148" s="2" t="str">
        <f t="shared" si="12"/>
        <v>Weekend</v>
      </c>
      <c r="E148" s="2">
        <f t="shared" si="16"/>
        <v>5</v>
      </c>
      <c r="F148" s="2" t="str">
        <f t="shared" si="13"/>
        <v>Second</v>
      </c>
      <c r="G148" s="2" t="str">
        <f t="shared" si="14"/>
        <v>First</v>
      </c>
      <c r="H148" s="2" t="str">
        <f>LOOKUP(DAYS360(DATE(YEAR(A148),1,0),A148), {0,81,171,263,352}, {"Winter","Spring","Summer","Autumn","Winter"})</f>
        <v>Spring</v>
      </c>
      <c r="I148" s="2">
        <f t="shared" si="17"/>
        <v>2023</v>
      </c>
      <c r="J148" s="2" t="s">
        <v>559</v>
      </c>
      <c r="K148" s="2" t="s">
        <v>738</v>
      </c>
      <c r="L148" s="2">
        <v>20</v>
      </c>
      <c r="M148" s="2">
        <v>17</v>
      </c>
    </row>
    <row r="149" spans="1:13" x14ac:dyDescent="0.35">
      <c r="A149" s="3">
        <v>45074</v>
      </c>
      <c r="B149" s="2" t="s">
        <v>172</v>
      </c>
      <c r="C149" s="2">
        <f t="shared" si="15"/>
        <v>1</v>
      </c>
      <c r="D149" s="2" t="str">
        <f t="shared" si="12"/>
        <v>Workday</v>
      </c>
      <c r="E149" s="2">
        <f t="shared" si="16"/>
        <v>5</v>
      </c>
      <c r="F149" s="2" t="str">
        <f t="shared" si="13"/>
        <v>Second</v>
      </c>
      <c r="G149" s="2" t="str">
        <f t="shared" si="14"/>
        <v>First</v>
      </c>
      <c r="H149" s="2" t="str">
        <f>LOOKUP(DAYS360(DATE(YEAR(A149),1,0),A149), {0,81,171,263,352}, {"Winter","Spring","Summer","Autumn","Winter"})</f>
        <v>Spring</v>
      </c>
      <c r="I149" s="2">
        <f t="shared" si="17"/>
        <v>2023</v>
      </c>
      <c r="J149" s="2" t="s">
        <v>560</v>
      </c>
      <c r="K149" s="2" t="s">
        <v>738</v>
      </c>
      <c r="L149" s="2">
        <v>19</v>
      </c>
      <c r="M149" s="2">
        <v>10</v>
      </c>
    </row>
    <row r="150" spans="1:13" x14ac:dyDescent="0.35">
      <c r="A150" s="3">
        <v>45075</v>
      </c>
      <c r="B150" s="2" t="s">
        <v>173</v>
      </c>
      <c r="C150" s="2">
        <f t="shared" si="15"/>
        <v>2</v>
      </c>
      <c r="D150" s="2" t="str">
        <f t="shared" si="12"/>
        <v>Workday</v>
      </c>
      <c r="E150" s="2">
        <f t="shared" si="16"/>
        <v>5</v>
      </c>
      <c r="F150" s="2" t="str">
        <f t="shared" si="13"/>
        <v>Second</v>
      </c>
      <c r="G150" s="2" t="str">
        <f t="shared" si="14"/>
        <v>First</v>
      </c>
      <c r="H150" s="2" t="str">
        <f>LOOKUP(DAYS360(DATE(YEAR(A150),1,0),A150), {0,81,171,263,352}, {"Winter","Spring","Summer","Autumn","Winter"})</f>
        <v>Spring</v>
      </c>
      <c r="I150" s="2">
        <f t="shared" si="17"/>
        <v>2023</v>
      </c>
      <c r="J150" s="2" t="s">
        <v>392</v>
      </c>
      <c r="K150" s="2" t="s">
        <v>738</v>
      </c>
      <c r="L150" s="2">
        <v>16</v>
      </c>
      <c r="M150" s="2">
        <v>2</v>
      </c>
    </row>
    <row r="151" spans="1:13" x14ac:dyDescent="0.35">
      <c r="A151" s="3">
        <v>45076</v>
      </c>
      <c r="B151" s="2" t="s">
        <v>174</v>
      </c>
      <c r="C151" s="2">
        <f t="shared" si="15"/>
        <v>3</v>
      </c>
      <c r="D151" s="2" t="str">
        <f t="shared" si="12"/>
        <v>Workday</v>
      </c>
      <c r="E151" s="2">
        <f t="shared" si="16"/>
        <v>5</v>
      </c>
      <c r="F151" s="2" t="str">
        <f t="shared" si="13"/>
        <v>Second</v>
      </c>
      <c r="G151" s="2" t="str">
        <f t="shared" si="14"/>
        <v>First</v>
      </c>
      <c r="H151" s="2" t="str">
        <f>LOOKUP(DAYS360(DATE(YEAR(A151),1,0),A151), {0,81,171,263,352}, {"Winter","Spring","Summer","Autumn","Winter"})</f>
        <v>Spring</v>
      </c>
      <c r="I151" s="2">
        <f t="shared" si="17"/>
        <v>2023</v>
      </c>
      <c r="J151" s="2" t="s">
        <v>561</v>
      </c>
      <c r="K151" s="2" t="s">
        <v>738</v>
      </c>
      <c r="L151" s="2">
        <v>19</v>
      </c>
      <c r="M151" s="2">
        <v>5</v>
      </c>
    </row>
    <row r="152" spans="1:13" x14ac:dyDescent="0.35">
      <c r="A152" s="3">
        <v>45077</v>
      </c>
      <c r="B152" s="2" t="s">
        <v>175</v>
      </c>
      <c r="C152" s="2">
        <f t="shared" si="15"/>
        <v>4</v>
      </c>
      <c r="D152" s="2" t="str">
        <f t="shared" si="12"/>
        <v>Workday</v>
      </c>
      <c r="E152" s="2">
        <f t="shared" si="16"/>
        <v>5</v>
      </c>
      <c r="F152" s="2" t="str">
        <f t="shared" si="13"/>
        <v>Second</v>
      </c>
      <c r="G152" s="2" t="str">
        <f t="shared" si="14"/>
        <v>First</v>
      </c>
      <c r="H152" s="2" t="str">
        <f>LOOKUP(DAYS360(DATE(YEAR(A152),1,0),A152), {0,81,171,263,352}, {"Winter","Spring","Summer","Autumn","Winter"})</f>
        <v>Spring</v>
      </c>
      <c r="I152" s="2">
        <f t="shared" si="17"/>
        <v>2023</v>
      </c>
      <c r="J152" s="2" t="s">
        <v>562</v>
      </c>
      <c r="K152" s="2" t="s">
        <v>738</v>
      </c>
      <c r="L152" s="2">
        <v>17</v>
      </c>
      <c r="M152" s="2">
        <v>4</v>
      </c>
    </row>
    <row r="153" spans="1:13" x14ac:dyDescent="0.35">
      <c r="A153" s="3">
        <v>45078</v>
      </c>
      <c r="B153" s="2" t="s">
        <v>20</v>
      </c>
      <c r="C153" s="2">
        <f t="shared" si="15"/>
        <v>5</v>
      </c>
      <c r="D153" s="2" t="str">
        <f t="shared" si="12"/>
        <v>Workday</v>
      </c>
      <c r="E153" s="2">
        <f t="shared" si="16"/>
        <v>6</v>
      </c>
      <c r="F153" s="2" t="str">
        <f t="shared" si="13"/>
        <v>Second</v>
      </c>
      <c r="G153" s="2" t="str">
        <f t="shared" si="14"/>
        <v>First</v>
      </c>
      <c r="H153" s="2" t="str">
        <f>LOOKUP(DAYS360(DATE(YEAR(A153),1,0),A153), {0,81,171,263,352}, {"Winter","Spring","Summer","Autumn","Winter"})</f>
        <v>Spring</v>
      </c>
      <c r="I153" s="2">
        <f t="shared" si="17"/>
        <v>2023</v>
      </c>
      <c r="J153" s="2" t="s">
        <v>426</v>
      </c>
      <c r="K153" s="2" t="s">
        <v>738</v>
      </c>
      <c r="L153" s="2">
        <v>9</v>
      </c>
      <c r="M153" s="2">
        <v>6</v>
      </c>
    </row>
    <row r="154" spans="1:13" x14ac:dyDescent="0.35">
      <c r="A154" s="3">
        <v>45079</v>
      </c>
      <c r="B154" s="2" t="s">
        <v>176</v>
      </c>
      <c r="C154" s="2">
        <f t="shared" si="15"/>
        <v>6</v>
      </c>
      <c r="D154" s="2" t="str">
        <f t="shared" si="12"/>
        <v>Weekend</v>
      </c>
      <c r="E154" s="2">
        <f t="shared" si="16"/>
        <v>6</v>
      </c>
      <c r="F154" s="2" t="str">
        <f t="shared" si="13"/>
        <v>Second</v>
      </c>
      <c r="G154" s="2" t="str">
        <f t="shared" si="14"/>
        <v>First</v>
      </c>
      <c r="H154" s="2" t="str">
        <f>LOOKUP(DAYS360(DATE(YEAR(A154),1,0),A154), {0,81,171,263,352}, {"Winter","Spring","Summer","Autumn","Winter"})</f>
        <v>Spring</v>
      </c>
      <c r="I154" s="2">
        <f t="shared" si="17"/>
        <v>2023</v>
      </c>
      <c r="J154" s="2" t="s">
        <v>563</v>
      </c>
      <c r="K154" s="2" t="s">
        <v>738</v>
      </c>
      <c r="L154" s="2">
        <v>15</v>
      </c>
      <c r="M154" s="2">
        <v>10</v>
      </c>
    </row>
    <row r="155" spans="1:13" x14ac:dyDescent="0.35">
      <c r="A155" s="3">
        <v>45080</v>
      </c>
      <c r="B155" s="2" t="s">
        <v>177</v>
      </c>
      <c r="C155" s="2">
        <f t="shared" si="15"/>
        <v>7</v>
      </c>
      <c r="D155" s="2" t="str">
        <f t="shared" si="12"/>
        <v>Weekend</v>
      </c>
      <c r="E155" s="2">
        <f t="shared" si="16"/>
        <v>6</v>
      </c>
      <c r="F155" s="2" t="str">
        <f t="shared" si="13"/>
        <v>Second</v>
      </c>
      <c r="G155" s="2" t="str">
        <f t="shared" si="14"/>
        <v>First</v>
      </c>
      <c r="H155" s="2" t="str">
        <f>LOOKUP(DAYS360(DATE(YEAR(A155),1,0),A155), {0,81,171,263,352}, {"Winter","Spring","Summer","Autumn","Winter"})</f>
        <v>Spring</v>
      </c>
      <c r="I155" s="2">
        <f t="shared" si="17"/>
        <v>2023</v>
      </c>
      <c r="J155" s="2" t="s">
        <v>564</v>
      </c>
      <c r="K155" s="2" t="s">
        <v>738</v>
      </c>
      <c r="L155" s="2">
        <v>12</v>
      </c>
      <c r="M155" s="2">
        <v>14</v>
      </c>
    </row>
    <row r="156" spans="1:13" x14ac:dyDescent="0.35">
      <c r="A156" s="3">
        <v>45081</v>
      </c>
      <c r="B156" s="2" t="s">
        <v>178</v>
      </c>
      <c r="C156" s="2">
        <f t="shared" si="15"/>
        <v>1</v>
      </c>
      <c r="D156" s="2" t="str">
        <f t="shared" si="12"/>
        <v>Workday</v>
      </c>
      <c r="E156" s="2">
        <f t="shared" si="16"/>
        <v>6</v>
      </c>
      <c r="F156" s="2" t="str">
        <f t="shared" si="13"/>
        <v>Second</v>
      </c>
      <c r="G156" s="2" t="str">
        <f t="shared" si="14"/>
        <v>First</v>
      </c>
      <c r="H156" s="2" t="str">
        <f>LOOKUP(DAYS360(DATE(YEAR(A156),1,0),A156), {0,81,171,263,352}, {"Winter","Spring","Summer","Autumn","Winter"})</f>
        <v>Spring</v>
      </c>
      <c r="I156" s="2">
        <f t="shared" si="17"/>
        <v>2023</v>
      </c>
      <c r="J156" s="2" t="s">
        <v>565</v>
      </c>
      <c r="K156" s="2" t="s">
        <v>738</v>
      </c>
      <c r="L156" s="2">
        <v>10</v>
      </c>
      <c r="M156" s="2">
        <v>6</v>
      </c>
    </row>
    <row r="157" spans="1:13" x14ac:dyDescent="0.35">
      <c r="A157" s="3">
        <v>45082</v>
      </c>
      <c r="B157" s="2" t="s">
        <v>179</v>
      </c>
      <c r="C157" s="2">
        <f t="shared" si="15"/>
        <v>2</v>
      </c>
      <c r="D157" s="2" t="str">
        <f t="shared" si="12"/>
        <v>Workday</v>
      </c>
      <c r="E157" s="2">
        <f t="shared" si="16"/>
        <v>6</v>
      </c>
      <c r="F157" s="2" t="str">
        <f t="shared" si="13"/>
        <v>Second</v>
      </c>
      <c r="G157" s="2" t="str">
        <f t="shared" si="14"/>
        <v>First</v>
      </c>
      <c r="H157" s="2" t="str">
        <f>LOOKUP(DAYS360(DATE(YEAR(A157),1,0),A157), {0,81,171,263,352}, {"Winter","Spring","Summer","Autumn","Winter"})</f>
        <v>Spring</v>
      </c>
      <c r="I157" s="2">
        <f t="shared" si="17"/>
        <v>2023</v>
      </c>
      <c r="J157" s="2" t="s">
        <v>566</v>
      </c>
      <c r="K157" s="2" t="s">
        <v>738</v>
      </c>
      <c r="L157" s="2">
        <v>11</v>
      </c>
      <c r="M157" s="2">
        <v>12</v>
      </c>
    </row>
    <row r="158" spans="1:13" x14ac:dyDescent="0.35">
      <c r="A158" s="3">
        <v>45083</v>
      </c>
      <c r="B158" s="2" t="s">
        <v>180</v>
      </c>
      <c r="C158" s="2">
        <f t="shared" si="15"/>
        <v>3</v>
      </c>
      <c r="D158" s="2" t="str">
        <f t="shared" si="12"/>
        <v>Workday</v>
      </c>
      <c r="E158" s="2">
        <f t="shared" si="16"/>
        <v>6</v>
      </c>
      <c r="F158" s="2" t="str">
        <f t="shared" si="13"/>
        <v>Second</v>
      </c>
      <c r="G158" s="2" t="str">
        <f t="shared" si="14"/>
        <v>First</v>
      </c>
      <c r="H158" s="2" t="str">
        <f>LOOKUP(DAYS360(DATE(YEAR(A158),1,0),A158), {0,81,171,263,352}, {"Winter","Spring","Summer","Autumn","Winter"})</f>
        <v>Spring</v>
      </c>
      <c r="I158" s="2">
        <f t="shared" si="17"/>
        <v>2023</v>
      </c>
      <c r="J158" s="2" t="s">
        <v>567</v>
      </c>
      <c r="K158" s="2" t="s">
        <v>738</v>
      </c>
      <c r="L158" s="2">
        <v>8</v>
      </c>
      <c r="M158" s="2">
        <v>5</v>
      </c>
    </row>
    <row r="159" spans="1:13" x14ac:dyDescent="0.35">
      <c r="A159" s="3">
        <v>45084</v>
      </c>
      <c r="B159" s="2" t="s">
        <v>181</v>
      </c>
      <c r="C159" s="2">
        <f t="shared" si="15"/>
        <v>4</v>
      </c>
      <c r="D159" s="2" t="str">
        <f t="shared" si="12"/>
        <v>Workday</v>
      </c>
      <c r="E159" s="2">
        <f t="shared" si="16"/>
        <v>6</v>
      </c>
      <c r="F159" s="2" t="str">
        <f t="shared" si="13"/>
        <v>Second</v>
      </c>
      <c r="G159" s="2" t="str">
        <f t="shared" si="14"/>
        <v>First</v>
      </c>
      <c r="H159" s="2" t="str">
        <f>LOOKUP(DAYS360(DATE(YEAR(A159),1,0),A159), {0,81,171,263,352}, {"Winter","Spring","Summer","Autumn","Winter"})</f>
        <v>Spring</v>
      </c>
      <c r="I159" s="2">
        <f t="shared" si="17"/>
        <v>2023</v>
      </c>
      <c r="J159" s="2" t="s">
        <v>568</v>
      </c>
      <c r="K159" s="2" t="s">
        <v>738</v>
      </c>
      <c r="L159" s="2">
        <v>2</v>
      </c>
      <c r="M159" s="2">
        <v>3</v>
      </c>
    </row>
    <row r="160" spans="1:13" x14ac:dyDescent="0.35">
      <c r="A160" s="3">
        <v>45085</v>
      </c>
      <c r="B160" s="2" t="s">
        <v>182</v>
      </c>
      <c r="C160" s="2">
        <f t="shared" si="15"/>
        <v>5</v>
      </c>
      <c r="D160" s="2" t="str">
        <f t="shared" si="12"/>
        <v>Workday</v>
      </c>
      <c r="E160" s="2">
        <f t="shared" si="16"/>
        <v>6</v>
      </c>
      <c r="F160" s="2" t="str">
        <f t="shared" si="13"/>
        <v>Second</v>
      </c>
      <c r="G160" s="2" t="str">
        <f t="shared" si="14"/>
        <v>First</v>
      </c>
      <c r="H160" s="2" t="str">
        <f>LOOKUP(DAYS360(DATE(YEAR(A160),1,0),A160), {0,81,171,263,352}, {"Winter","Spring","Summer","Autumn","Winter"})</f>
        <v>Spring</v>
      </c>
      <c r="I160" s="2">
        <f t="shared" si="17"/>
        <v>2023</v>
      </c>
      <c r="J160" s="2" t="s">
        <v>569</v>
      </c>
      <c r="K160" s="2" t="s">
        <v>738</v>
      </c>
      <c r="L160" s="2">
        <v>14</v>
      </c>
      <c r="M160" s="2">
        <v>18</v>
      </c>
    </row>
    <row r="161" spans="1:13" x14ac:dyDescent="0.35">
      <c r="A161" s="3">
        <v>45086</v>
      </c>
      <c r="B161" s="2" t="s">
        <v>183</v>
      </c>
      <c r="C161" s="2">
        <f t="shared" si="15"/>
        <v>6</v>
      </c>
      <c r="D161" s="2" t="str">
        <f t="shared" ref="D161:D224" si="18">IF(C161&lt;6,"Workday","Weekend")</f>
        <v>Weekend</v>
      </c>
      <c r="E161" s="2">
        <f t="shared" si="16"/>
        <v>6</v>
      </c>
      <c r="F161" s="2" t="str">
        <f t="shared" ref="F161:F224" si="19">IF(E161&lt;4,"First",IF(AND(E161&gt;3,E161&lt;7),"Second",IF(AND(E161&gt;6,E161&lt;10),"Third",IF(E161&gt;9,"Fourth",0))))</f>
        <v>Second</v>
      </c>
      <c r="G161" s="2" t="str">
        <f t="shared" ref="G161:G224" si="20">IF(E161&lt;7,"First","Second")</f>
        <v>First</v>
      </c>
      <c r="H161" s="2" t="str">
        <f>LOOKUP(DAYS360(DATE(YEAR(A161),1,0),A161), {0,81,171,263,352}, {"Winter","Spring","Summer","Autumn","Winter"})</f>
        <v>Spring</v>
      </c>
      <c r="I161" s="2">
        <f t="shared" si="17"/>
        <v>2023</v>
      </c>
      <c r="J161" s="2" t="s">
        <v>570</v>
      </c>
      <c r="K161" s="2" t="s">
        <v>738</v>
      </c>
      <c r="L161" s="2">
        <v>2</v>
      </c>
      <c r="M161" s="2">
        <v>11</v>
      </c>
    </row>
    <row r="162" spans="1:13" x14ac:dyDescent="0.35">
      <c r="A162" s="3">
        <v>45087</v>
      </c>
      <c r="B162" s="2" t="s">
        <v>184</v>
      </c>
      <c r="C162" s="2">
        <f t="shared" si="15"/>
        <v>7</v>
      </c>
      <c r="D162" s="2" t="str">
        <f t="shared" si="18"/>
        <v>Weekend</v>
      </c>
      <c r="E162" s="2">
        <f t="shared" si="16"/>
        <v>6</v>
      </c>
      <c r="F162" s="2" t="str">
        <f t="shared" si="19"/>
        <v>Second</v>
      </c>
      <c r="G162" s="2" t="str">
        <f t="shared" si="20"/>
        <v>First</v>
      </c>
      <c r="H162" s="2" t="str">
        <f>LOOKUP(DAYS360(DATE(YEAR(A162),1,0),A162), {0,81,171,263,352}, {"Winter","Spring","Summer","Autumn","Winter"})</f>
        <v>Spring</v>
      </c>
      <c r="I162" s="2">
        <f t="shared" si="17"/>
        <v>2023</v>
      </c>
      <c r="J162" s="2" t="s">
        <v>571</v>
      </c>
      <c r="K162" s="2" t="s">
        <v>738</v>
      </c>
      <c r="L162" s="2">
        <v>19</v>
      </c>
      <c r="M162" s="2">
        <v>10</v>
      </c>
    </row>
    <row r="163" spans="1:13" x14ac:dyDescent="0.35">
      <c r="A163" s="3">
        <v>45088</v>
      </c>
      <c r="B163" s="2" t="s">
        <v>185</v>
      </c>
      <c r="C163" s="2">
        <f t="shared" si="15"/>
        <v>1</v>
      </c>
      <c r="D163" s="2" t="str">
        <f t="shared" si="18"/>
        <v>Workday</v>
      </c>
      <c r="E163" s="2">
        <f t="shared" si="16"/>
        <v>6</v>
      </c>
      <c r="F163" s="2" t="str">
        <f t="shared" si="19"/>
        <v>Second</v>
      </c>
      <c r="G163" s="2" t="str">
        <f t="shared" si="20"/>
        <v>First</v>
      </c>
      <c r="H163" s="2" t="str">
        <f>LOOKUP(DAYS360(DATE(YEAR(A163),1,0),A163), {0,81,171,263,352}, {"Winter","Spring","Summer","Autumn","Winter"})</f>
        <v>Spring</v>
      </c>
      <c r="I163" s="2">
        <f t="shared" si="17"/>
        <v>2023</v>
      </c>
      <c r="J163" s="2" t="s">
        <v>572</v>
      </c>
      <c r="K163" s="2" t="s">
        <v>738</v>
      </c>
      <c r="L163" s="2">
        <v>13</v>
      </c>
      <c r="M163" s="2">
        <v>15</v>
      </c>
    </row>
    <row r="164" spans="1:13" x14ac:dyDescent="0.35">
      <c r="A164" s="3">
        <v>45089</v>
      </c>
      <c r="B164" s="2" t="s">
        <v>186</v>
      </c>
      <c r="C164" s="2">
        <f t="shared" si="15"/>
        <v>2</v>
      </c>
      <c r="D164" s="2" t="str">
        <f t="shared" si="18"/>
        <v>Workday</v>
      </c>
      <c r="E164" s="2">
        <f t="shared" si="16"/>
        <v>6</v>
      </c>
      <c r="F164" s="2" t="str">
        <f t="shared" si="19"/>
        <v>Second</v>
      </c>
      <c r="G164" s="2" t="str">
        <f t="shared" si="20"/>
        <v>First</v>
      </c>
      <c r="H164" s="2" t="str">
        <f>LOOKUP(DAYS360(DATE(YEAR(A164),1,0),A164), {0,81,171,263,352}, {"Winter","Spring","Summer","Autumn","Winter"})</f>
        <v>Spring</v>
      </c>
      <c r="I164" s="2">
        <f t="shared" si="17"/>
        <v>2023</v>
      </c>
      <c r="J164" s="2" t="s">
        <v>573</v>
      </c>
      <c r="K164" s="2" t="s">
        <v>738</v>
      </c>
      <c r="L164" s="2">
        <v>20</v>
      </c>
      <c r="M164" s="2">
        <v>17</v>
      </c>
    </row>
    <row r="165" spans="1:13" x14ac:dyDescent="0.35">
      <c r="A165" s="3">
        <v>45090</v>
      </c>
      <c r="B165" s="2" t="s">
        <v>15</v>
      </c>
      <c r="C165" s="2">
        <f t="shared" si="15"/>
        <v>3</v>
      </c>
      <c r="D165" s="2" t="str">
        <f t="shared" si="18"/>
        <v>Workday</v>
      </c>
      <c r="E165" s="2">
        <f t="shared" si="16"/>
        <v>6</v>
      </c>
      <c r="F165" s="2" t="str">
        <f t="shared" si="19"/>
        <v>Second</v>
      </c>
      <c r="G165" s="2" t="str">
        <f t="shared" si="20"/>
        <v>First</v>
      </c>
      <c r="H165" s="2" t="str">
        <f>LOOKUP(DAYS360(DATE(YEAR(A165),1,0),A165), {0,81,171,263,352}, {"Winter","Spring","Summer","Autumn","Winter"})</f>
        <v>Spring</v>
      </c>
      <c r="I165" s="2">
        <f t="shared" si="17"/>
        <v>2023</v>
      </c>
      <c r="J165" s="2" t="s">
        <v>574</v>
      </c>
      <c r="K165" s="2" t="s">
        <v>738</v>
      </c>
      <c r="L165" s="2">
        <v>11</v>
      </c>
      <c r="M165" s="2">
        <v>1</v>
      </c>
    </row>
    <row r="166" spans="1:13" x14ac:dyDescent="0.35">
      <c r="A166" s="3">
        <v>45091</v>
      </c>
      <c r="B166" s="2" t="s">
        <v>187</v>
      </c>
      <c r="C166" s="2">
        <f t="shared" si="15"/>
        <v>4</v>
      </c>
      <c r="D166" s="2" t="str">
        <f t="shared" si="18"/>
        <v>Workday</v>
      </c>
      <c r="E166" s="2">
        <f t="shared" si="16"/>
        <v>6</v>
      </c>
      <c r="F166" s="2" t="str">
        <f t="shared" si="19"/>
        <v>Second</v>
      </c>
      <c r="G166" s="2" t="str">
        <f t="shared" si="20"/>
        <v>First</v>
      </c>
      <c r="H166" s="2" t="str">
        <f>LOOKUP(DAYS360(DATE(YEAR(A166),1,0),A166), {0,81,171,263,352}, {"Winter","Spring","Summer","Autumn","Winter"})</f>
        <v>Spring</v>
      </c>
      <c r="I166" s="2">
        <f t="shared" si="17"/>
        <v>2023</v>
      </c>
      <c r="J166" s="2" t="s">
        <v>19</v>
      </c>
      <c r="K166" s="2" t="s">
        <v>738</v>
      </c>
      <c r="L166" s="2">
        <v>1</v>
      </c>
      <c r="M166" s="2">
        <v>11</v>
      </c>
    </row>
    <row r="167" spans="1:13" x14ac:dyDescent="0.35">
      <c r="A167" s="3">
        <v>45092</v>
      </c>
      <c r="B167" s="2" t="s">
        <v>188</v>
      </c>
      <c r="C167" s="2">
        <f t="shared" si="15"/>
        <v>5</v>
      </c>
      <c r="D167" s="2" t="str">
        <f t="shared" si="18"/>
        <v>Workday</v>
      </c>
      <c r="E167" s="2">
        <f t="shared" si="16"/>
        <v>6</v>
      </c>
      <c r="F167" s="2" t="str">
        <f t="shared" si="19"/>
        <v>Second</v>
      </c>
      <c r="G167" s="2" t="str">
        <f t="shared" si="20"/>
        <v>First</v>
      </c>
      <c r="H167" s="2" t="str">
        <f>LOOKUP(DAYS360(DATE(YEAR(A167),1,0),A167), {0,81,171,263,352}, {"Winter","Spring","Summer","Autumn","Winter"})</f>
        <v>Spring</v>
      </c>
      <c r="I167" s="2">
        <f t="shared" si="17"/>
        <v>2023</v>
      </c>
      <c r="J167" s="2" t="s">
        <v>384</v>
      </c>
      <c r="K167" s="2" t="s">
        <v>738</v>
      </c>
      <c r="L167" s="2">
        <v>17</v>
      </c>
      <c r="M167" s="2">
        <v>17</v>
      </c>
    </row>
    <row r="168" spans="1:13" x14ac:dyDescent="0.35">
      <c r="A168" s="3">
        <v>45093</v>
      </c>
      <c r="B168" s="2" t="s">
        <v>189</v>
      </c>
      <c r="C168" s="2">
        <f t="shared" si="15"/>
        <v>6</v>
      </c>
      <c r="D168" s="2" t="str">
        <f t="shared" si="18"/>
        <v>Weekend</v>
      </c>
      <c r="E168" s="2">
        <f t="shared" si="16"/>
        <v>6</v>
      </c>
      <c r="F168" s="2" t="str">
        <f t="shared" si="19"/>
        <v>Second</v>
      </c>
      <c r="G168" s="2" t="str">
        <f t="shared" si="20"/>
        <v>First</v>
      </c>
      <c r="H168" s="2" t="str">
        <f>LOOKUP(DAYS360(DATE(YEAR(A168),1,0),A168), {0,81,171,263,352}, {"Winter","Spring","Summer","Autumn","Winter"})</f>
        <v>Spring</v>
      </c>
      <c r="I168" s="2">
        <f t="shared" si="17"/>
        <v>2023</v>
      </c>
      <c r="J168" s="2" t="s">
        <v>575</v>
      </c>
      <c r="K168" s="2" t="s">
        <v>738</v>
      </c>
      <c r="L168" s="2">
        <v>1</v>
      </c>
      <c r="M168" s="2">
        <v>3</v>
      </c>
    </row>
    <row r="169" spans="1:13" x14ac:dyDescent="0.35">
      <c r="A169" s="3">
        <v>45094</v>
      </c>
      <c r="B169" s="2" t="s">
        <v>190</v>
      </c>
      <c r="C169" s="2">
        <f t="shared" si="15"/>
        <v>7</v>
      </c>
      <c r="D169" s="2" t="str">
        <f t="shared" si="18"/>
        <v>Weekend</v>
      </c>
      <c r="E169" s="2">
        <f t="shared" si="16"/>
        <v>6</v>
      </c>
      <c r="F169" s="2" t="str">
        <f t="shared" si="19"/>
        <v>Second</v>
      </c>
      <c r="G169" s="2" t="str">
        <f t="shared" si="20"/>
        <v>First</v>
      </c>
      <c r="H169" s="2" t="str">
        <f>LOOKUP(DAYS360(DATE(YEAR(A169),1,0),A169), {0,81,171,263,352}, {"Winter","Spring","Summer","Autumn","Winter"})</f>
        <v>Spring</v>
      </c>
      <c r="I169" s="2">
        <f t="shared" si="17"/>
        <v>2023</v>
      </c>
      <c r="J169" s="2" t="s">
        <v>576</v>
      </c>
      <c r="K169" s="2" t="s">
        <v>738</v>
      </c>
      <c r="L169" s="2">
        <v>4</v>
      </c>
      <c r="M169" s="2">
        <v>15</v>
      </c>
    </row>
    <row r="170" spans="1:13" x14ac:dyDescent="0.35">
      <c r="A170" s="3">
        <v>45095</v>
      </c>
      <c r="B170" s="2" t="s">
        <v>191</v>
      </c>
      <c r="C170" s="2">
        <f t="shared" si="15"/>
        <v>1</v>
      </c>
      <c r="D170" s="2" t="str">
        <f t="shared" si="18"/>
        <v>Workday</v>
      </c>
      <c r="E170" s="2">
        <f t="shared" si="16"/>
        <v>6</v>
      </c>
      <c r="F170" s="2" t="str">
        <f t="shared" si="19"/>
        <v>Second</v>
      </c>
      <c r="G170" s="2" t="str">
        <f t="shared" si="20"/>
        <v>First</v>
      </c>
      <c r="H170" s="2" t="str">
        <f>LOOKUP(DAYS360(DATE(YEAR(A170),1,0),A170), {0,81,171,263,352}, {"Winter","Spring","Summer","Autumn","Winter"})</f>
        <v>Spring</v>
      </c>
      <c r="I170" s="2">
        <f t="shared" si="17"/>
        <v>2023</v>
      </c>
      <c r="J170" s="2" t="s">
        <v>577</v>
      </c>
      <c r="K170" s="2" t="s">
        <v>738</v>
      </c>
      <c r="L170" s="2">
        <v>8</v>
      </c>
      <c r="M170" s="2">
        <v>18</v>
      </c>
    </row>
    <row r="171" spans="1:13" x14ac:dyDescent="0.35">
      <c r="A171" s="3">
        <v>45096</v>
      </c>
      <c r="B171" s="2" t="s">
        <v>192</v>
      </c>
      <c r="C171" s="2">
        <f t="shared" si="15"/>
        <v>2</v>
      </c>
      <c r="D171" s="2" t="str">
        <f t="shared" si="18"/>
        <v>Workday</v>
      </c>
      <c r="E171" s="2">
        <f t="shared" si="16"/>
        <v>6</v>
      </c>
      <c r="F171" s="2" t="str">
        <f t="shared" si="19"/>
        <v>Second</v>
      </c>
      <c r="G171" s="2" t="str">
        <f t="shared" si="20"/>
        <v>First</v>
      </c>
      <c r="H171" s="2" t="str">
        <f>LOOKUP(DAYS360(DATE(YEAR(A171),1,0),A171), {0,81,171,263,352}, {"Winter","Spring","Summer","Autumn","Winter"})</f>
        <v>Spring</v>
      </c>
      <c r="I171" s="2">
        <f t="shared" si="17"/>
        <v>2023</v>
      </c>
      <c r="J171" s="2" t="s">
        <v>578</v>
      </c>
      <c r="K171" s="2" t="s">
        <v>738</v>
      </c>
      <c r="L171" s="2">
        <v>7</v>
      </c>
      <c r="M171" s="2">
        <v>2</v>
      </c>
    </row>
    <row r="172" spans="1:13" x14ac:dyDescent="0.35">
      <c r="A172" s="3">
        <v>45097</v>
      </c>
      <c r="B172" s="2" t="s">
        <v>193</v>
      </c>
      <c r="C172" s="2">
        <f t="shared" si="15"/>
        <v>3</v>
      </c>
      <c r="D172" s="2" t="str">
        <f t="shared" si="18"/>
        <v>Workday</v>
      </c>
      <c r="E172" s="2">
        <f t="shared" si="16"/>
        <v>6</v>
      </c>
      <c r="F172" s="2" t="str">
        <f t="shared" si="19"/>
        <v>Second</v>
      </c>
      <c r="G172" s="2" t="str">
        <f t="shared" si="20"/>
        <v>First</v>
      </c>
      <c r="H172" s="2" t="str">
        <f>LOOKUP(DAYS360(DATE(YEAR(A172),1,0),A172), {0,81,171,263,352}, {"Winter","Spring","Summer","Autumn","Winter"})</f>
        <v>Spring</v>
      </c>
      <c r="I172" s="2">
        <f t="shared" si="17"/>
        <v>2023</v>
      </c>
      <c r="J172" s="2" t="s">
        <v>169</v>
      </c>
      <c r="K172" s="2" t="s">
        <v>738</v>
      </c>
      <c r="L172" s="2">
        <v>8</v>
      </c>
      <c r="M172" s="2">
        <v>14</v>
      </c>
    </row>
    <row r="173" spans="1:13" x14ac:dyDescent="0.35">
      <c r="A173" s="3">
        <v>45098</v>
      </c>
      <c r="B173" s="2" t="s">
        <v>194</v>
      </c>
      <c r="C173" s="2">
        <f t="shared" si="15"/>
        <v>4</v>
      </c>
      <c r="D173" s="2" t="str">
        <f t="shared" si="18"/>
        <v>Workday</v>
      </c>
      <c r="E173" s="2">
        <f t="shared" si="16"/>
        <v>6</v>
      </c>
      <c r="F173" s="2" t="str">
        <f t="shared" si="19"/>
        <v>Second</v>
      </c>
      <c r="G173" s="2" t="str">
        <f t="shared" si="20"/>
        <v>First</v>
      </c>
      <c r="H173" s="2" t="str">
        <f>LOOKUP(DAYS360(DATE(YEAR(A173),1,0),A173), {0,81,171,263,352}, {"Winter","Spring","Summer","Autumn","Winter"})</f>
        <v>Summer</v>
      </c>
      <c r="I173" s="2">
        <f t="shared" si="17"/>
        <v>2023</v>
      </c>
      <c r="J173" s="2" t="s">
        <v>579</v>
      </c>
      <c r="K173" s="2" t="s">
        <v>738</v>
      </c>
      <c r="L173" s="2">
        <v>13</v>
      </c>
      <c r="M173" s="2">
        <v>4</v>
      </c>
    </row>
    <row r="174" spans="1:13" x14ac:dyDescent="0.35">
      <c r="A174" s="3">
        <v>45099</v>
      </c>
      <c r="B174" s="2" t="s">
        <v>195</v>
      </c>
      <c r="C174" s="2">
        <f t="shared" si="15"/>
        <v>5</v>
      </c>
      <c r="D174" s="2" t="str">
        <f t="shared" si="18"/>
        <v>Workday</v>
      </c>
      <c r="E174" s="2">
        <f t="shared" si="16"/>
        <v>6</v>
      </c>
      <c r="F174" s="2" t="str">
        <f t="shared" si="19"/>
        <v>Second</v>
      </c>
      <c r="G174" s="2" t="str">
        <f t="shared" si="20"/>
        <v>First</v>
      </c>
      <c r="H174" s="2" t="str">
        <f>LOOKUP(DAYS360(DATE(YEAR(A174),1,0),A174), {0,81,171,263,352}, {"Winter","Spring","Summer","Autumn","Winter"})</f>
        <v>Summer</v>
      </c>
      <c r="I174" s="2">
        <f t="shared" si="17"/>
        <v>2023</v>
      </c>
      <c r="J174" s="2" t="s">
        <v>580</v>
      </c>
      <c r="K174" s="2" t="s">
        <v>738</v>
      </c>
      <c r="L174" s="2">
        <v>15</v>
      </c>
      <c r="M174" s="2">
        <v>6</v>
      </c>
    </row>
    <row r="175" spans="1:13" x14ac:dyDescent="0.35">
      <c r="A175" s="3">
        <v>45100</v>
      </c>
      <c r="B175" s="2" t="s">
        <v>196</v>
      </c>
      <c r="C175" s="2">
        <f t="shared" si="15"/>
        <v>6</v>
      </c>
      <c r="D175" s="2" t="str">
        <f t="shared" si="18"/>
        <v>Weekend</v>
      </c>
      <c r="E175" s="2">
        <f t="shared" si="16"/>
        <v>6</v>
      </c>
      <c r="F175" s="2" t="str">
        <f t="shared" si="19"/>
        <v>Second</v>
      </c>
      <c r="G175" s="2" t="str">
        <f t="shared" si="20"/>
        <v>First</v>
      </c>
      <c r="H175" s="2" t="str">
        <f>LOOKUP(DAYS360(DATE(YEAR(A175),1,0),A175), {0,81,171,263,352}, {"Winter","Spring","Summer","Autumn","Winter"})</f>
        <v>Summer</v>
      </c>
      <c r="I175" s="2">
        <f t="shared" si="17"/>
        <v>2023</v>
      </c>
      <c r="J175" s="2" t="s">
        <v>581</v>
      </c>
      <c r="K175" s="2" t="s">
        <v>738</v>
      </c>
      <c r="L175" s="2">
        <v>4</v>
      </c>
      <c r="M175" s="2">
        <v>18</v>
      </c>
    </row>
    <row r="176" spans="1:13" x14ac:dyDescent="0.35">
      <c r="A176" s="3">
        <v>45101</v>
      </c>
      <c r="B176" s="2" t="s">
        <v>197</v>
      </c>
      <c r="C176" s="2">
        <f t="shared" si="15"/>
        <v>7</v>
      </c>
      <c r="D176" s="2" t="str">
        <f t="shared" si="18"/>
        <v>Weekend</v>
      </c>
      <c r="E176" s="2">
        <f t="shared" si="16"/>
        <v>6</v>
      </c>
      <c r="F176" s="2" t="str">
        <f t="shared" si="19"/>
        <v>Second</v>
      </c>
      <c r="G176" s="2" t="str">
        <f t="shared" si="20"/>
        <v>First</v>
      </c>
      <c r="H176" s="2" t="str">
        <f>LOOKUP(DAYS360(DATE(YEAR(A176),1,0),A176), {0,81,171,263,352}, {"Winter","Spring","Summer","Autumn","Winter"})</f>
        <v>Summer</v>
      </c>
      <c r="I176" s="2">
        <f t="shared" si="17"/>
        <v>2023</v>
      </c>
      <c r="J176" s="2" t="s">
        <v>582</v>
      </c>
      <c r="K176" s="2" t="s">
        <v>738</v>
      </c>
      <c r="L176" s="2">
        <v>8</v>
      </c>
      <c r="M176" s="2">
        <v>11</v>
      </c>
    </row>
    <row r="177" spans="1:13" x14ac:dyDescent="0.35">
      <c r="A177" s="3">
        <v>45102</v>
      </c>
      <c r="B177" s="2" t="s">
        <v>198</v>
      </c>
      <c r="C177" s="2">
        <f t="shared" si="15"/>
        <v>1</v>
      </c>
      <c r="D177" s="2" t="str">
        <f t="shared" si="18"/>
        <v>Workday</v>
      </c>
      <c r="E177" s="2">
        <f t="shared" si="16"/>
        <v>6</v>
      </c>
      <c r="F177" s="2" t="str">
        <f t="shared" si="19"/>
        <v>Second</v>
      </c>
      <c r="G177" s="2" t="str">
        <f t="shared" si="20"/>
        <v>First</v>
      </c>
      <c r="H177" s="2" t="str">
        <f>LOOKUP(DAYS360(DATE(YEAR(A177),1,0),A177), {0,81,171,263,352}, {"Winter","Spring","Summer","Autumn","Winter"})</f>
        <v>Summer</v>
      </c>
      <c r="I177" s="2">
        <f t="shared" si="17"/>
        <v>2023</v>
      </c>
      <c r="J177" s="2" t="s">
        <v>583</v>
      </c>
      <c r="K177" s="2" t="s">
        <v>738</v>
      </c>
      <c r="L177" s="2">
        <v>18</v>
      </c>
      <c r="M177" s="2">
        <v>12</v>
      </c>
    </row>
    <row r="178" spans="1:13" x14ac:dyDescent="0.35">
      <c r="A178" s="3">
        <v>45103</v>
      </c>
      <c r="B178" s="2" t="s">
        <v>199</v>
      </c>
      <c r="C178" s="2">
        <f t="shared" si="15"/>
        <v>2</v>
      </c>
      <c r="D178" s="2" t="str">
        <f t="shared" si="18"/>
        <v>Workday</v>
      </c>
      <c r="E178" s="2">
        <f t="shared" si="16"/>
        <v>6</v>
      </c>
      <c r="F178" s="2" t="str">
        <f t="shared" si="19"/>
        <v>Second</v>
      </c>
      <c r="G178" s="2" t="str">
        <f t="shared" si="20"/>
        <v>First</v>
      </c>
      <c r="H178" s="2" t="str">
        <f>LOOKUP(DAYS360(DATE(YEAR(A178),1,0),A178), {0,81,171,263,352}, {"Winter","Spring","Summer","Autumn","Winter"})</f>
        <v>Summer</v>
      </c>
      <c r="I178" s="2">
        <f t="shared" si="17"/>
        <v>2023</v>
      </c>
      <c r="J178" s="2" t="s">
        <v>584</v>
      </c>
      <c r="K178" s="2" t="s">
        <v>738</v>
      </c>
      <c r="L178" s="2">
        <v>12</v>
      </c>
      <c r="M178" s="2">
        <v>7</v>
      </c>
    </row>
    <row r="179" spans="1:13" x14ac:dyDescent="0.35">
      <c r="A179" s="3">
        <v>45104</v>
      </c>
      <c r="B179" s="2" t="s">
        <v>200</v>
      </c>
      <c r="C179" s="2">
        <f t="shared" si="15"/>
        <v>3</v>
      </c>
      <c r="D179" s="2" t="str">
        <f t="shared" si="18"/>
        <v>Workday</v>
      </c>
      <c r="E179" s="2">
        <f t="shared" si="16"/>
        <v>6</v>
      </c>
      <c r="F179" s="2" t="str">
        <f t="shared" si="19"/>
        <v>Second</v>
      </c>
      <c r="G179" s="2" t="str">
        <f t="shared" si="20"/>
        <v>First</v>
      </c>
      <c r="H179" s="2" t="str">
        <f>LOOKUP(DAYS360(DATE(YEAR(A179),1,0),A179), {0,81,171,263,352}, {"Winter","Spring","Summer","Autumn","Winter"})</f>
        <v>Summer</v>
      </c>
      <c r="I179" s="2">
        <f t="shared" si="17"/>
        <v>2023</v>
      </c>
      <c r="J179" s="2" t="s">
        <v>585</v>
      </c>
      <c r="K179" s="2" t="s">
        <v>738</v>
      </c>
      <c r="L179" s="2">
        <v>3</v>
      </c>
      <c r="M179" s="2">
        <v>20</v>
      </c>
    </row>
    <row r="180" spans="1:13" x14ac:dyDescent="0.35">
      <c r="A180" s="3">
        <v>45105</v>
      </c>
      <c r="B180" s="2" t="s">
        <v>201</v>
      </c>
      <c r="C180" s="2">
        <f t="shared" si="15"/>
        <v>4</v>
      </c>
      <c r="D180" s="2" t="str">
        <f t="shared" si="18"/>
        <v>Workday</v>
      </c>
      <c r="E180" s="2">
        <f t="shared" si="16"/>
        <v>6</v>
      </c>
      <c r="F180" s="2" t="str">
        <f t="shared" si="19"/>
        <v>Second</v>
      </c>
      <c r="G180" s="2" t="str">
        <f t="shared" si="20"/>
        <v>First</v>
      </c>
      <c r="H180" s="2" t="str">
        <f>LOOKUP(DAYS360(DATE(YEAR(A180),1,0),A180), {0,81,171,263,352}, {"Winter","Spring","Summer","Autumn","Winter"})</f>
        <v>Summer</v>
      </c>
      <c r="I180" s="2">
        <f t="shared" si="17"/>
        <v>2023</v>
      </c>
      <c r="J180" s="2" t="s">
        <v>586</v>
      </c>
      <c r="K180" s="2" t="s">
        <v>738</v>
      </c>
      <c r="L180" s="2">
        <v>15</v>
      </c>
      <c r="M180" s="2">
        <v>1</v>
      </c>
    </row>
    <row r="181" spans="1:13" x14ac:dyDescent="0.35">
      <c r="A181" s="3">
        <v>45106</v>
      </c>
      <c r="B181" s="2" t="s">
        <v>202</v>
      </c>
      <c r="C181" s="2">
        <f t="shared" si="15"/>
        <v>5</v>
      </c>
      <c r="D181" s="2" t="str">
        <f t="shared" si="18"/>
        <v>Workday</v>
      </c>
      <c r="E181" s="2">
        <f t="shared" si="16"/>
        <v>6</v>
      </c>
      <c r="F181" s="2" t="str">
        <f t="shared" si="19"/>
        <v>Second</v>
      </c>
      <c r="G181" s="2" t="str">
        <f t="shared" si="20"/>
        <v>First</v>
      </c>
      <c r="H181" s="2" t="str">
        <f>LOOKUP(DAYS360(DATE(YEAR(A181),1,0),A181), {0,81,171,263,352}, {"Winter","Spring","Summer","Autumn","Winter"})</f>
        <v>Summer</v>
      </c>
      <c r="I181" s="2">
        <f t="shared" si="17"/>
        <v>2023</v>
      </c>
      <c r="J181" s="2" t="s">
        <v>587</v>
      </c>
      <c r="K181" s="2" t="s">
        <v>738</v>
      </c>
      <c r="L181" s="2">
        <v>3</v>
      </c>
      <c r="M181" s="2">
        <v>16</v>
      </c>
    </row>
    <row r="182" spans="1:13" x14ac:dyDescent="0.35">
      <c r="A182" s="3">
        <v>45107</v>
      </c>
      <c r="B182" s="2" t="s">
        <v>203</v>
      </c>
      <c r="C182" s="2">
        <f t="shared" si="15"/>
        <v>6</v>
      </c>
      <c r="D182" s="2" t="str">
        <f t="shared" si="18"/>
        <v>Weekend</v>
      </c>
      <c r="E182" s="2">
        <f t="shared" si="16"/>
        <v>6</v>
      </c>
      <c r="F182" s="2" t="str">
        <f t="shared" si="19"/>
        <v>Second</v>
      </c>
      <c r="G182" s="2" t="str">
        <f t="shared" si="20"/>
        <v>First</v>
      </c>
      <c r="H182" s="2" t="str">
        <f>LOOKUP(DAYS360(DATE(YEAR(A182),1,0),A182), {0,81,171,263,352}, {"Winter","Spring","Summer","Autumn","Winter"})</f>
        <v>Summer</v>
      </c>
      <c r="I182" s="2">
        <f t="shared" si="17"/>
        <v>2023</v>
      </c>
      <c r="J182" s="2" t="s">
        <v>403</v>
      </c>
      <c r="K182" s="2" t="s">
        <v>738</v>
      </c>
      <c r="L182" s="2">
        <v>10</v>
      </c>
      <c r="M182" s="2">
        <v>17</v>
      </c>
    </row>
    <row r="183" spans="1:13" x14ac:dyDescent="0.35">
      <c r="A183" s="3">
        <v>45108</v>
      </c>
      <c r="B183" s="2" t="s">
        <v>204</v>
      </c>
      <c r="C183" s="2">
        <f t="shared" si="15"/>
        <v>7</v>
      </c>
      <c r="D183" s="2" t="str">
        <f t="shared" si="18"/>
        <v>Weekend</v>
      </c>
      <c r="E183" s="2">
        <f t="shared" si="16"/>
        <v>7</v>
      </c>
      <c r="F183" s="2" t="str">
        <f t="shared" si="19"/>
        <v>Third</v>
      </c>
      <c r="G183" s="2" t="str">
        <f t="shared" si="20"/>
        <v>Second</v>
      </c>
      <c r="H183" s="2" t="str">
        <f>LOOKUP(DAYS360(DATE(YEAR(A183),1,0),A183), {0,81,171,263,352}, {"Winter","Spring","Summer","Autumn","Winter"})</f>
        <v>Summer</v>
      </c>
      <c r="I183" s="2">
        <f t="shared" si="17"/>
        <v>2023</v>
      </c>
      <c r="J183" s="2" t="s">
        <v>588</v>
      </c>
      <c r="K183" s="2" t="s">
        <v>738</v>
      </c>
      <c r="L183" s="2">
        <v>3</v>
      </c>
      <c r="M183" s="2">
        <v>4</v>
      </c>
    </row>
    <row r="184" spans="1:13" x14ac:dyDescent="0.35">
      <c r="A184" s="3">
        <v>45109</v>
      </c>
      <c r="B184" s="2" t="s">
        <v>205</v>
      </c>
      <c r="C184" s="2">
        <f t="shared" si="15"/>
        <v>1</v>
      </c>
      <c r="D184" s="2" t="str">
        <f t="shared" si="18"/>
        <v>Workday</v>
      </c>
      <c r="E184" s="2">
        <f t="shared" si="16"/>
        <v>7</v>
      </c>
      <c r="F184" s="2" t="str">
        <f t="shared" si="19"/>
        <v>Third</v>
      </c>
      <c r="G184" s="2" t="str">
        <f t="shared" si="20"/>
        <v>Second</v>
      </c>
      <c r="H184" s="2" t="str">
        <f>LOOKUP(DAYS360(DATE(YEAR(A184),1,0),A184), {0,81,171,263,352}, {"Winter","Spring","Summer","Autumn","Winter"})</f>
        <v>Summer</v>
      </c>
      <c r="I184" s="2">
        <f t="shared" si="17"/>
        <v>2023</v>
      </c>
      <c r="J184" s="2" t="s">
        <v>589</v>
      </c>
      <c r="K184" s="2" t="s">
        <v>738</v>
      </c>
      <c r="L184" s="2">
        <v>10</v>
      </c>
      <c r="M184" s="2">
        <v>2</v>
      </c>
    </row>
    <row r="185" spans="1:13" x14ac:dyDescent="0.35">
      <c r="A185" s="3">
        <v>45110</v>
      </c>
      <c r="B185" s="2" t="s">
        <v>206</v>
      </c>
      <c r="C185" s="2">
        <f t="shared" si="15"/>
        <v>2</v>
      </c>
      <c r="D185" s="2" t="str">
        <f t="shared" si="18"/>
        <v>Workday</v>
      </c>
      <c r="E185" s="2">
        <f t="shared" si="16"/>
        <v>7</v>
      </c>
      <c r="F185" s="2" t="str">
        <f t="shared" si="19"/>
        <v>Third</v>
      </c>
      <c r="G185" s="2" t="str">
        <f t="shared" si="20"/>
        <v>Second</v>
      </c>
      <c r="H185" s="2" t="str">
        <f>LOOKUP(DAYS360(DATE(YEAR(A185),1,0),A185), {0,81,171,263,352}, {"Winter","Spring","Summer","Autumn","Winter"})</f>
        <v>Summer</v>
      </c>
      <c r="I185" s="2">
        <f t="shared" si="17"/>
        <v>2023</v>
      </c>
      <c r="J185" s="2" t="s">
        <v>590</v>
      </c>
      <c r="K185" s="2" t="s">
        <v>738</v>
      </c>
      <c r="L185" s="2">
        <v>4</v>
      </c>
      <c r="M185" s="2">
        <v>10</v>
      </c>
    </row>
    <row r="186" spans="1:13" x14ac:dyDescent="0.35">
      <c r="A186" s="3">
        <v>45111</v>
      </c>
      <c r="B186" s="2" t="s">
        <v>207</v>
      </c>
      <c r="C186" s="2">
        <f t="shared" si="15"/>
        <v>3</v>
      </c>
      <c r="D186" s="2" t="str">
        <f t="shared" si="18"/>
        <v>Workday</v>
      </c>
      <c r="E186" s="2">
        <f t="shared" si="16"/>
        <v>7</v>
      </c>
      <c r="F186" s="2" t="str">
        <f t="shared" si="19"/>
        <v>Third</v>
      </c>
      <c r="G186" s="2" t="str">
        <f t="shared" si="20"/>
        <v>Second</v>
      </c>
      <c r="H186" s="2" t="str">
        <f>LOOKUP(DAYS360(DATE(YEAR(A186),1,0),A186), {0,81,171,263,352}, {"Winter","Spring","Summer","Autumn","Winter"})</f>
        <v>Summer</v>
      </c>
      <c r="I186" s="2">
        <f t="shared" si="17"/>
        <v>2023</v>
      </c>
      <c r="J186" s="2" t="s">
        <v>591</v>
      </c>
      <c r="K186" s="2" t="s">
        <v>738</v>
      </c>
      <c r="L186" s="2">
        <v>15</v>
      </c>
      <c r="M186" s="2">
        <v>18</v>
      </c>
    </row>
    <row r="187" spans="1:13" x14ac:dyDescent="0.35">
      <c r="A187" s="3">
        <v>45112</v>
      </c>
      <c r="B187" s="2" t="s">
        <v>208</v>
      </c>
      <c r="C187" s="2">
        <f t="shared" si="15"/>
        <v>4</v>
      </c>
      <c r="D187" s="2" t="str">
        <f t="shared" si="18"/>
        <v>Workday</v>
      </c>
      <c r="E187" s="2">
        <f t="shared" si="16"/>
        <v>7</v>
      </c>
      <c r="F187" s="2" t="str">
        <f t="shared" si="19"/>
        <v>Third</v>
      </c>
      <c r="G187" s="2" t="str">
        <f t="shared" si="20"/>
        <v>Second</v>
      </c>
      <c r="H187" s="2" t="str">
        <f>LOOKUP(DAYS360(DATE(YEAR(A187),1,0),A187), {0,81,171,263,352}, {"Winter","Spring","Summer","Autumn","Winter"})</f>
        <v>Summer</v>
      </c>
      <c r="I187" s="2">
        <f t="shared" si="17"/>
        <v>2023</v>
      </c>
      <c r="J187" s="2" t="s">
        <v>592</v>
      </c>
      <c r="K187" s="2" t="s">
        <v>738</v>
      </c>
      <c r="L187" s="2">
        <v>6</v>
      </c>
      <c r="M187" s="2">
        <v>8</v>
      </c>
    </row>
    <row r="188" spans="1:13" x14ac:dyDescent="0.35">
      <c r="A188" s="3">
        <v>45113</v>
      </c>
      <c r="B188" s="2" t="s">
        <v>209</v>
      </c>
      <c r="C188" s="2">
        <f t="shared" si="15"/>
        <v>5</v>
      </c>
      <c r="D188" s="2" t="str">
        <f t="shared" si="18"/>
        <v>Workday</v>
      </c>
      <c r="E188" s="2">
        <f t="shared" si="16"/>
        <v>7</v>
      </c>
      <c r="F188" s="2" t="str">
        <f t="shared" si="19"/>
        <v>Third</v>
      </c>
      <c r="G188" s="2" t="str">
        <f t="shared" si="20"/>
        <v>Second</v>
      </c>
      <c r="H188" s="2" t="str">
        <f>LOOKUP(DAYS360(DATE(YEAR(A188),1,0),A188), {0,81,171,263,352}, {"Winter","Spring","Summer","Autumn","Winter"})</f>
        <v>Summer</v>
      </c>
      <c r="I188" s="2">
        <f t="shared" si="17"/>
        <v>2023</v>
      </c>
      <c r="J188" s="2" t="s">
        <v>593</v>
      </c>
      <c r="K188" s="2" t="s">
        <v>738</v>
      </c>
      <c r="L188" s="2">
        <v>20</v>
      </c>
      <c r="M188" s="2">
        <v>15</v>
      </c>
    </row>
    <row r="189" spans="1:13" x14ac:dyDescent="0.35">
      <c r="A189" s="3">
        <v>45114</v>
      </c>
      <c r="B189" s="2" t="s">
        <v>210</v>
      </c>
      <c r="C189" s="2">
        <f t="shared" si="15"/>
        <v>6</v>
      </c>
      <c r="D189" s="2" t="str">
        <f t="shared" si="18"/>
        <v>Weekend</v>
      </c>
      <c r="E189" s="2">
        <f t="shared" si="16"/>
        <v>7</v>
      </c>
      <c r="F189" s="2" t="str">
        <f t="shared" si="19"/>
        <v>Third</v>
      </c>
      <c r="G189" s="2" t="str">
        <f t="shared" si="20"/>
        <v>Second</v>
      </c>
      <c r="H189" s="2" t="str">
        <f>LOOKUP(DAYS360(DATE(YEAR(A189),1,0),A189), {0,81,171,263,352}, {"Winter","Spring","Summer","Autumn","Winter"})</f>
        <v>Summer</v>
      </c>
      <c r="I189" s="2">
        <f t="shared" si="17"/>
        <v>2023</v>
      </c>
      <c r="J189" s="2" t="s">
        <v>594</v>
      </c>
      <c r="K189" s="2" t="s">
        <v>738</v>
      </c>
      <c r="L189" s="2">
        <v>20</v>
      </c>
      <c r="M189" s="2">
        <v>9</v>
      </c>
    </row>
    <row r="190" spans="1:13" x14ac:dyDescent="0.35">
      <c r="A190" s="3">
        <v>45115</v>
      </c>
      <c r="B190" s="2" t="s">
        <v>211</v>
      </c>
      <c r="C190" s="2">
        <f t="shared" si="15"/>
        <v>7</v>
      </c>
      <c r="D190" s="2" t="str">
        <f t="shared" si="18"/>
        <v>Weekend</v>
      </c>
      <c r="E190" s="2">
        <f t="shared" si="16"/>
        <v>7</v>
      </c>
      <c r="F190" s="2" t="str">
        <f t="shared" si="19"/>
        <v>Third</v>
      </c>
      <c r="G190" s="2" t="str">
        <f t="shared" si="20"/>
        <v>Second</v>
      </c>
      <c r="H190" s="2" t="str">
        <f>LOOKUP(DAYS360(DATE(YEAR(A190),1,0),A190), {0,81,171,263,352}, {"Winter","Spring","Summer","Autumn","Winter"})</f>
        <v>Summer</v>
      </c>
      <c r="I190" s="2">
        <f t="shared" si="17"/>
        <v>2023</v>
      </c>
      <c r="J190" s="2" t="s">
        <v>595</v>
      </c>
      <c r="K190" s="2" t="s">
        <v>738</v>
      </c>
      <c r="L190" s="2">
        <v>2</v>
      </c>
      <c r="M190" s="2">
        <v>1</v>
      </c>
    </row>
    <row r="191" spans="1:13" x14ac:dyDescent="0.35">
      <c r="A191" s="3">
        <v>45116</v>
      </c>
      <c r="B191" s="2" t="s">
        <v>212</v>
      </c>
      <c r="C191" s="2">
        <f t="shared" si="15"/>
        <v>1</v>
      </c>
      <c r="D191" s="2" t="str">
        <f t="shared" si="18"/>
        <v>Workday</v>
      </c>
      <c r="E191" s="2">
        <f t="shared" si="16"/>
        <v>7</v>
      </c>
      <c r="F191" s="2" t="str">
        <f t="shared" si="19"/>
        <v>Third</v>
      </c>
      <c r="G191" s="2" t="str">
        <f t="shared" si="20"/>
        <v>Second</v>
      </c>
      <c r="H191" s="2" t="str">
        <f>LOOKUP(DAYS360(DATE(YEAR(A191),1,0),A191), {0,81,171,263,352}, {"Winter","Spring","Summer","Autumn","Winter"})</f>
        <v>Summer</v>
      </c>
      <c r="I191" s="2">
        <f t="shared" si="17"/>
        <v>2023</v>
      </c>
      <c r="J191" s="2" t="s">
        <v>596</v>
      </c>
      <c r="K191" s="2" t="s">
        <v>738</v>
      </c>
      <c r="L191" s="2">
        <v>18</v>
      </c>
      <c r="M191" s="2">
        <v>10</v>
      </c>
    </row>
    <row r="192" spans="1:13" x14ac:dyDescent="0.35">
      <c r="A192" s="3">
        <v>45117</v>
      </c>
      <c r="B192" s="2" t="s">
        <v>213</v>
      </c>
      <c r="C192" s="2">
        <f t="shared" si="15"/>
        <v>2</v>
      </c>
      <c r="D192" s="2" t="str">
        <f t="shared" si="18"/>
        <v>Workday</v>
      </c>
      <c r="E192" s="2">
        <f t="shared" si="16"/>
        <v>7</v>
      </c>
      <c r="F192" s="2" t="str">
        <f t="shared" si="19"/>
        <v>Third</v>
      </c>
      <c r="G192" s="2" t="str">
        <f t="shared" si="20"/>
        <v>Second</v>
      </c>
      <c r="H192" s="2" t="str">
        <f>LOOKUP(DAYS360(DATE(YEAR(A192),1,0),A192), {0,81,171,263,352}, {"Winter","Spring","Summer","Autumn","Winter"})</f>
        <v>Summer</v>
      </c>
      <c r="I192" s="2">
        <f t="shared" si="17"/>
        <v>2023</v>
      </c>
      <c r="J192" s="2" t="s">
        <v>597</v>
      </c>
      <c r="K192" s="2" t="s">
        <v>738</v>
      </c>
      <c r="L192" s="2">
        <v>5</v>
      </c>
      <c r="M192" s="2">
        <v>16</v>
      </c>
    </row>
    <row r="193" spans="1:13" x14ac:dyDescent="0.35">
      <c r="A193" s="3">
        <v>45118</v>
      </c>
      <c r="B193" s="2" t="s">
        <v>214</v>
      </c>
      <c r="C193" s="2">
        <f t="shared" si="15"/>
        <v>3</v>
      </c>
      <c r="D193" s="2" t="str">
        <f t="shared" si="18"/>
        <v>Workday</v>
      </c>
      <c r="E193" s="2">
        <f t="shared" si="16"/>
        <v>7</v>
      </c>
      <c r="F193" s="2" t="str">
        <f t="shared" si="19"/>
        <v>Third</v>
      </c>
      <c r="G193" s="2" t="str">
        <f t="shared" si="20"/>
        <v>Second</v>
      </c>
      <c r="H193" s="2" t="str">
        <f>LOOKUP(DAYS360(DATE(YEAR(A193),1,0),A193), {0,81,171,263,352}, {"Winter","Spring","Summer","Autumn","Winter"})</f>
        <v>Summer</v>
      </c>
      <c r="I193" s="2">
        <f t="shared" si="17"/>
        <v>2023</v>
      </c>
      <c r="J193" s="2" t="s">
        <v>598</v>
      </c>
      <c r="K193" s="2" t="s">
        <v>738</v>
      </c>
      <c r="L193" s="2">
        <v>4</v>
      </c>
      <c r="M193" s="2">
        <v>13</v>
      </c>
    </row>
    <row r="194" spans="1:13" x14ac:dyDescent="0.35">
      <c r="A194" s="3">
        <v>45119</v>
      </c>
      <c r="B194" s="2" t="s">
        <v>215</v>
      </c>
      <c r="C194" s="2">
        <f t="shared" ref="C194:C257" si="21">WEEKDAY(A194)</f>
        <v>4</v>
      </c>
      <c r="D194" s="2" t="str">
        <f t="shared" si="18"/>
        <v>Workday</v>
      </c>
      <c r="E194" s="2">
        <f t="shared" ref="E194:E257" si="22">MONTH(A194)</f>
        <v>7</v>
      </c>
      <c r="F194" s="2" t="str">
        <f t="shared" si="19"/>
        <v>Third</v>
      </c>
      <c r="G194" s="2" t="str">
        <f t="shared" si="20"/>
        <v>Second</v>
      </c>
      <c r="H194" s="2" t="str">
        <f>LOOKUP(DAYS360(DATE(YEAR(A194),1,0),A194), {0,81,171,263,352}, {"Winter","Spring","Summer","Autumn","Winter"})</f>
        <v>Summer</v>
      </c>
      <c r="I194" s="2">
        <f t="shared" ref="I194:I257" si="23">YEAR(A194)</f>
        <v>2023</v>
      </c>
      <c r="J194" s="2" t="s">
        <v>599</v>
      </c>
      <c r="K194" s="2" t="s">
        <v>738</v>
      </c>
      <c r="L194" s="2">
        <v>8</v>
      </c>
      <c r="M194" s="2">
        <v>13</v>
      </c>
    </row>
    <row r="195" spans="1:13" x14ac:dyDescent="0.35">
      <c r="A195" s="3">
        <v>45120</v>
      </c>
      <c r="B195" s="2" t="s">
        <v>216</v>
      </c>
      <c r="C195" s="2">
        <f t="shared" si="21"/>
        <v>5</v>
      </c>
      <c r="D195" s="2" t="str">
        <f t="shared" si="18"/>
        <v>Workday</v>
      </c>
      <c r="E195" s="2">
        <f t="shared" si="22"/>
        <v>7</v>
      </c>
      <c r="F195" s="2" t="str">
        <f t="shared" si="19"/>
        <v>Third</v>
      </c>
      <c r="G195" s="2" t="str">
        <f t="shared" si="20"/>
        <v>Second</v>
      </c>
      <c r="H195" s="2" t="str">
        <f>LOOKUP(DAYS360(DATE(YEAR(A195),1,0),A195), {0,81,171,263,352}, {"Winter","Spring","Summer","Autumn","Winter"})</f>
        <v>Summer</v>
      </c>
      <c r="I195" s="2">
        <f t="shared" si="23"/>
        <v>2023</v>
      </c>
      <c r="J195" s="2" t="s">
        <v>600</v>
      </c>
      <c r="K195" s="2" t="s">
        <v>738</v>
      </c>
      <c r="L195" s="2">
        <v>17</v>
      </c>
      <c r="M195" s="2">
        <v>1</v>
      </c>
    </row>
    <row r="196" spans="1:13" x14ac:dyDescent="0.35">
      <c r="A196" s="3">
        <v>45121</v>
      </c>
      <c r="B196" s="2" t="s">
        <v>217</v>
      </c>
      <c r="C196" s="2">
        <f t="shared" si="21"/>
        <v>6</v>
      </c>
      <c r="D196" s="2" t="str">
        <f t="shared" si="18"/>
        <v>Weekend</v>
      </c>
      <c r="E196" s="2">
        <f t="shared" si="22"/>
        <v>7</v>
      </c>
      <c r="F196" s="2" t="str">
        <f t="shared" si="19"/>
        <v>Third</v>
      </c>
      <c r="G196" s="2" t="str">
        <f t="shared" si="20"/>
        <v>Second</v>
      </c>
      <c r="H196" s="2" t="str">
        <f>LOOKUP(DAYS360(DATE(YEAR(A196),1,0),A196), {0,81,171,263,352}, {"Winter","Spring","Summer","Autumn","Winter"})</f>
        <v>Summer</v>
      </c>
      <c r="I196" s="2">
        <f t="shared" si="23"/>
        <v>2023</v>
      </c>
      <c r="J196" s="2" t="s">
        <v>601</v>
      </c>
      <c r="K196" s="2" t="s">
        <v>738</v>
      </c>
      <c r="L196" s="2">
        <v>8</v>
      </c>
      <c r="M196" s="2">
        <v>11</v>
      </c>
    </row>
    <row r="197" spans="1:13" x14ac:dyDescent="0.35">
      <c r="A197" s="3">
        <v>45122</v>
      </c>
      <c r="B197" s="2" t="s">
        <v>218</v>
      </c>
      <c r="C197" s="2">
        <f t="shared" si="21"/>
        <v>7</v>
      </c>
      <c r="D197" s="2" t="str">
        <f t="shared" si="18"/>
        <v>Weekend</v>
      </c>
      <c r="E197" s="2">
        <f t="shared" si="22"/>
        <v>7</v>
      </c>
      <c r="F197" s="2" t="str">
        <f t="shared" si="19"/>
        <v>Third</v>
      </c>
      <c r="G197" s="2" t="str">
        <f t="shared" si="20"/>
        <v>Second</v>
      </c>
      <c r="H197" s="2" t="str">
        <f>LOOKUP(DAYS360(DATE(YEAR(A197),1,0),A197), {0,81,171,263,352}, {"Winter","Spring","Summer","Autumn","Winter"})</f>
        <v>Summer</v>
      </c>
      <c r="I197" s="2">
        <f t="shared" si="23"/>
        <v>2023</v>
      </c>
      <c r="J197" s="2" t="s">
        <v>602</v>
      </c>
      <c r="K197" s="2" t="s">
        <v>738</v>
      </c>
      <c r="L197" s="2">
        <v>2</v>
      </c>
      <c r="M197" s="2">
        <v>11</v>
      </c>
    </row>
    <row r="198" spans="1:13" x14ac:dyDescent="0.35">
      <c r="A198" s="3">
        <v>45123</v>
      </c>
      <c r="B198" s="2" t="s">
        <v>219</v>
      </c>
      <c r="C198" s="2">
        <f t="shared" si="21"/>
        <v>1</v>
      </c>
      <c r="D198" s="2" t="str">
        <f t="shared" si="18"/>
        <v>Workday</v>
      </c>
      <c r="E198" s="2">
        <f t="shared" si="22"/>
        <v>7</v>
      </c>
      <c r="F198" s="2" t="str">
        <f t="shared" si="19"/>
        <v>Third</v>
      </c>
      <c r="G198" s="2" t="str">
        <f t="shared" si="20"/>
        <v>Second</v>
      </c>
      <c r="H198" s="2" t="str">
        <f>LOOKUP(DAYS360(DATE(YEAR(A198),1,0),A198), {0,81,171,263,352}, {"Winter","Spring","Summer","Autumn","Winter"})</f>
        <v>Summer</v>
      </c>
      <c r="I198" s="2">
        <f t="shared" si="23"/>
        <v>2023</v>
      </c>
      <c r="J198" s="2" t="s">
        <v>603</v>
      </c>
      <c r="K198" s="2" t="s">
        <v>738</v>
      </c>
      <c r="L198" s="2">
        <v>7</v>
      </c>
      <c r="M198" s="2">
        <v>3</v>
      </c>
    </row>
    <row r="199" spans="1:13" x14ac:dyDescent="0.35">
      <c r="A199" s="3">
        <v>45124</v>
      </c>
      <c r="B199" s="2" t="s">
        <v>220</v>
      </c>
      <c r="C199" s="2">
        <f t="shared" si="21"/>
        <v>2</v>
      </c>
      <c r="D199" s="2" t="str">
        <f t="shared" si="18"/>
        <v>Workday</v>
      </c>
      <c r="E199" s="2">
        <f t="shared" si="22"/>
        <v>7</v>
      </c>
      <c r="F199" s="2" t="str">
        <f t="shared" si="19"/>
        <v>Third</v>
      </c>
      <c r="G199" s="2" t="str">
        <f t="shared" si="20"/>
        <v>Second</v>
      </c>
      <c r="H199" s="2" t="str">
        <f>LOOKUP(DAYS360(DATE(YEAR(A199),1,0),A199), {0,81,171,263,352}, {"Winter","Spring","Summer","Autumn","Winter"})</f>
        <v>Summer</v>
      </c>
      <c r="I199" s="2">
        <f t="shared" si="23"/>
        <v>2023</v>
      </c>
      <c r="J199" s="2" t="s">
        <v>604</v>
      </c>
      <c r="K199" s="2" t="s">
        <v>738</v>
      </c>
      <c r="L199" s="2">
        <v>7</v>
      </c>
      <c r="M199" s="2">
        <v>20</v>
      </c>
    </row>
    <row r="200" spans="1:13" x14ac:dyDescent="0.35">
      <c r="A200" s="3">
        <v>45125</v>
      </c>
      <c r="B200" s="2" t="s">
        <v>221</v>
      </c>
      <c r="C200" s="2">
        <f t="shared" si="21"/>
        <v>3</v>
      </c>
      <c r="D200" s="2" t="str">
        <f t="shared" si="18"/>
        <v>Workday</v>
      </c>
      <c r="E200" s="2">
        <f t="shared" si="22"/>
        <v>7</v>
      </c>
      <c r="F200" s="2" t="str">
        <f t="shared" si="19"/>
        <v>Third</v>
      </c>
      <c r="G200" s="2" t="str">
        <f t="shared" si="20"/>
        <v>Second</v>
      </c>
      <c r="H200" s="2" t="str">
        <f>LOOKUP(DAYS360(DATE(YEAR(A200),1,0),A200), {0,81,171,263,352}, {"Winter","Spring","Summer","Autumn","Winter"})</f>
        <v>Summer</v>
      </c>
      <c r="I200" s="2">
        <f t="shared" si="23"/>
        <v>2023</v>
      </c>
      <c r="J200" s="2" t="s">
        <v>605</v>
      </c>
      <c r="K200" s="2" t="s">
        <v>738</v>
      </c>
      <c r="L200" s="2">
        <v>7</v>
      </c>
      <c r="M200" s="2">
        <v>8</v>
      </c>
    </row>
    <row r="201" spans="1:13" x14ac:dyDescent="0.35">
      <c r="A201" s="3">
        <v>45126</v>
      </c>
      <c r="B201" s="2" t="s">
        <v>222</v>
      </c>
      <c r="C201" s="2">
        <f t="shared" si="21"/>
        <v>4</v>
      </c>
      <c r="D201" s="2" t="str">
        <f t="shared" si="18"/>
        <v>Workday</v>
      </c>
      <c r="E201" s="2">
        <f t="shared" si="22"/>
        <v>7</v>
      </c>
      <c r="F201" s="2" t="str">
        <f t="shared" si="19"/>
        <v>Third</v>
      </c>
      <c r="G201" s="2" t="str">
        <f t="shared" si="20"/>
        <v>Second</v>
      </c>
      <c r="H201" s="2" t="str">
        <f>LOOKUP(DAYS360(DATE(YEAR(A201),1,0),A201), {0,81,171,263,352}, {"Winter","Spring","Summer","Autumn","Winter"})</f>
        <v>Summer</v>
      </c>
      <c r="I201" s="2">
        <f t="shared" si="23"/>
        <v>2023</v>
      </c>
      <c r="J201" s="2" t="s">
        <v>606</v>
      </c>
      <c r="K201" s="2" t="s">
        <v>738</v>
      </c>
      <c r="L201" s="2">
        <v>14</v>
      </c>
      <c r="M201" s="2">
        <v>19</v>
      </c>
    </row>
    <row r="202" spans="1:13" x14ac:dyDescent="0.35">
      <c r="A202" s="3">
        <v>45127</v>
      </c>
      <c r="B202" s="2" t="s">
        <v>223</v>
      </c>
      <c r="C202" s="2">
        <f t="shared" si="21"/>
        <v>5</v>
      </c>
      <c r="D202" s="2" t="str">
        <f t="shared" si="18"/>
        <v>Workday</v>
      </c>
      <c r="E202" s="2">
        <f t="shared" si="22"/>
        <v>7</v>
      </c>
      <c r="F202" s="2" t="str">
        <f t="shared" si="19"/>
        <v>Third</v>
      </c>
      <c r="G202" s="2" t="str">
        <f t="shared" si="20"/>
        <v>Second</v>
      </c>
      <c r="H202" s="2" t="str">
        <f>LOOKUP(DAYS360(DATE(YEAR(A202),1,0),A202), {0,81,171,263,352}, {"Winter","Spring","Summer","Autumn","Winter"})</f>
        <v>Summer</v>
      </c>
      <c r="I202" s="2">
        <f t="shared" si="23"/>
        <v>2023</v>
      </c>
      <c r="J202" s="2" t="s">
        <v>607</v>
      </c>
      <c r="K202" s="2" t="s">
        <v>738</v>
      </c>
      <c r="L202" s="2">
        <v>3</v>
      </c>
      <c r="M202" s="2">
        <v>18</v>
      </c>
    </row>
    <row r="203" spans="1:13" x14ac:dyDescent="0.35">
      <c r="A203" s="3">
        <v>45128</v>
      </c>
      <c r="B203" s="2" t="s">
        <v>224</v>
      </c>
      <c r="C203" s="2">
        <f t="shared" si="21"/>
        <v>6</v>
      </c>
      <c r="D203" s="2" t="str">
        <f t="shared" si="18"/>
        <v>Weekend</v>
      </c>
      <c r="E203" s="2">
        <f t="shared" si="22"/>
        <v>7</v>
      </c>
      <c r="F203" s="2" t="str">
        <f t="shared" si="19"/>
        <v>Third</v>
      </c>
      <c r="G203" s="2" t="str">
        <f t="shared" si="20"/>
        <v>Second</v>
      </c>
      <c r="H203" s="2" t="str">
        <f>LOOKUP(DAYS360(DATE(YEAR(A203),1,0),A203), {0,81,171,263,352}, {"Winter","Spring","Summer","Autumn","Winter"})</f>
        <v>Summer</v>
      </c>
      <c r="I203" s="2">
        <f t="shared" si="23"/>
        <v>2023</v>
      </c>
      <c r="J203" s="2" t="s">
        <v>608</v>
      </c>
      <c r="K203" s="2" t="s">
        <v>738</v>
      </c>
      <c r="L203" s="2">
        <v>17</v>
      </c>
      <c r="M203" s="2">
        <v>19</v>
      </c>
    </row>
    <row r="204" spans="1:13" x14ac:dyDescent="0.35">
      <c r="A204" s="3">
        <v>45129</v>
      </c>
      <c r="B204" s="2" t="s">
        <v>225</v>
      </c>
      <c r="C204" s="2">
        <f t="shared" si="21"/>
        <v>7</v>
      </c>
      <c r="D204" s="2" t="str">
        <f t="shared" si="18"/>
        <v>Weekend</v>
      </c>
      <c r="E204" s="2">
        <f t="shared" si="22"/>
        <v>7</v>
      </c>
      <c r="F204" s="2" t="str">
        <f t="shared" si="19"/>
        <v>Third</v>
      </c>
      <c r="G204" s="2" t="str">
        <f t="shared" si="20"/>
        <v>Second</v>
      </c>
      <c r="H204" s="2" t="str">
        <f>LOOKUP(DAYS360(DATE(YEAR(A204),1,0),A204), {0,81,171,263,352}, {"Winter","Spring","Summer","Autumn","Winter"})</f>
        <v>Summer</v>
      </c>
      <c r="I204" s="2">
        <f t="shared" si="23"/>
        <v>2023</v>
      </c>
      <c r="J204" s="2" t="s">
        <v>609</v>
      </c>
      <c r="K204" s="2" t="s">
        <v>738</v>
      </c>
      <c r="L204" s="2">
        <v>18</v>
      </c>
      <c r="M204" s="2">
        <v>12</v>
      </c>
    </row>
    <row r="205" spans="1:13" x14ac:dyDescent="0.35">
      <c r="A205" s="3">
        <v>45130</v>
      </c>
      <c r="B205" s="2" t="s">
        <v>226</v>
      </c>
      <c r="C205" s="2">
        <f t="shared" si="21"/>
        <v>1</v>
      </c>
      <c r="D205" s="2" t="str">
        <f t="shared" si="18"/>
        <v>Workday</v>
      </c>
      <c r="E205" s="2">
        <f t="shared" si="22"/>
        <v>7</v>
      </c>
      <c r="F205" s="2" t="str">
        <f t="shared" si="19"/>
        <v>Third</v>
      </c>
      <c r="G205" s="2" t="str">
        <f t="shared" si="20"/>
        <v>Second</v>
      </c>
      <c r="H205" s="2" t="str">
        <f>LOOKUP(DAYS360(DATE(YEAR(A205),1,0),A205), {0,81,171,263,352}, {"Winter","Spring","Summer","Autumn","Winter"})</f>
        <v>Summer</v>
      </c>
      <c r="I205" s="2">
        <f t="shared" si="23"/>
        <v>2023</v>
      </c>
      <c r="J205" s="2" t="s">
        <v>400</v>
      </c>
      <c r="K205" s="2" t="s">
        <v>738</v>
      </c>
      <c r="L205" s="2">
        <v>8</v>
      </c>
      <c r="M205" s="2">
        <v>8</v>
      </c>
    </row>
    <row r="206" spans="1:13" x14ac:dyDescent="0.35">
      <c r="A206" s="3">
        <v>45131</v>
      </c>
      <c r="B206" s="2" t="s">
        <v>227</v>
      </c>
      <c r="C206" s="2">
        <f t="shared" si="21"/>
        <v>2</v>
      </c>
      <c r="D206" s="2" t="str">
        <f t="shared" si="18"/>
        <v>Workday</v>
      </c>
      <c r="E206" s="2">
        <f t="shared" si="22"/>
        <v>7</v>
      </c>
      <c r="F206" s="2" t="str">
        <f t="shared" si="19"/>
        <v>Third</v>
      </c>
      <c r="G206" s="2" t="str">
        <f t="shared" si="20"/>
        <v>Second</v>
      </c>
      <c r="H206" s="2" t="str">
        <f>LOOKUP(DAYS360(DATE(YEAR(A206),1,0),A206), {0,81,171,263,352}, {"Winter","Spring","Summer","Autumn","Winter"})</f>
        <v>Summer</v>
      </c>
      <c r="I206" s="2">
        <f t="shared" si="23"/>
        <v>2023</v>
      </c>
      <c r="J206" s="2" t="s">
        <v>610</v>
      </c>
      <c r="K206" s="2" t="s">
        <v>738</v>
      </c>
      <c r="L206" s="2">
        <v>8</v>
      </c>
      <c r="M206" s="2">
        <v>13</v>
      </c>
    </row>
    <row r="207" spans="1:13" x14ac:dyDescent="0.35">
      <c r="A207" s="3">
        <v>45132</v>
      </c>
      <c r="B207" s="2" t="s">
        <v>228</v>
      </c>
      <c r="C207" s="2">
        <f t="shared" si="21"/>
        <v>3</v>
      </c>
      <c r="D207" s="2" t="str">
        <f t="shared" si="18"/>
        <v>Workday</v>
      </c>
      <c r="E207" s="2">
        <f t="shared" si="22"/>
        <v>7</v>
      </c>
      <c r="F207" s="2" t="str">
        <f t="shared" si="19"/>
        <v>Third</v>
      </c>
      <c r="G207" s="2" t="str">
        <f t="shared" si="20"/>
        <v>Second</v>
      </c>
      <c r="H207" s="2" t="str">
        <f>LOOKUP(DAYS360(DATE(YEAR(A207),1,0),A207), {0,81,171,263,352}, {"Winter","Spring","Summer","Autumn","Winter"})</f>
        <v>Summer</v>
      </c>
      <c r="I207" s="2">
        <f t="shared" si="23"/>
        <v>2023</v>
      </c>
      <c r="J207" s="2" t="s">
        <v>399</v>
      </c>
      <c r="K207" s="2" t="s">
        <v>738</v>
      </c>
      <c r="L207" s="2">
        <v>8</v>
      </c>
      <c r="M207" s="2">
        <v>6</v>
      </c>
    </row>
    <row r="208" spans="1:13" x14ac:dyDescent="0.35">
      <c r="A208" s="3">
        <v>45133</v>
      </c>
      <c r="B208" s="2" t="s">
        <v>229</v>
      </c>
      <c r="C208" s="2">
        <f t="shared" si="21"/>
        <v>4</v>
      </c>
      <c r="D208" s="2" t="str">
        <f t="shared" si="18"/>
        <v>Workday</v>
      </c>
      <c r="E208" s="2">
        <f t="shared" si="22"/>
        <v>7</v>
      </c>
      <c r="F208" s="2" t="str">
        <f t="shared" si="19"/>
        <v>Third</v>
      </c>
      <c r="G208" s="2" t="str">
        <f t="shared" si="20"/>
        <v>Second</v>
      </c>
      <c r="H208" s="2" t="str">
        <f>LOOKUP(DAYS360(DATE(YEAR(A208),1,0),A208), {0,81,171,263,352}, {"Winter","Spring","Summer","Autumn","Winter"})</f>
        <v>Summer</v>
      </c>
      <c r="I208" s="2">
        <f t="shared" si="23"/>
        <v>2023</v>
      </c>
      <c r="J208" s="2" t="s">
        <v>611</v>
      </c>
      <c r="K208" s="2" t="s">
        <v>738</v>
      </c>
      <c r="L208" s="2">
        <v>13</v>
      </c>
      <c r="M208" s="2">
        <v>20</v>
      </c>
    </row>
    <row r="209" spans="1:13" x14ac:dyDescent="0.35">
      <c r="A209" s="3">
        <v>45134</v>
      </c>
      <c r="B209" s="2" t="s">
        <v>230</v>
      </c>
      <c r="C209" s="2">
        <f t="shared" si="21"/>
        <v>5</v>
      </c>
      <c r="D209" s="2" t="str">
        <f t="shared" si="18"/>
        <v>Workday</v>
      </c>
      <c r="E209" s="2">
        <f t="shared" si="22"/>
        <v>7</v>
      </c>
      <c r="F209" s="2" t="str">
        <f t="shared" si="19"/>
        <v>Third</v>
      </c>
      <c r="G209" s="2" t="str">
        <f t="shared" si="20"/>
        <v>Second</v>
      </c>
      <c r="H209" s="2" t="str">
        <f>LOOKUP(DAYS360(DATE(YEAR(A209),1,0),A209), {0,81,171,263,352}, {"Winter","Spring","Summer","Autumn","Winter"})</f>
        <v>Summer</v>
      </c>
      <c r="I209" s="2">
        <f t="shared" si="23"/>
        <v>2023</v>
      </c>
      <c r="J209" s="2" t="s">
        <v>612</v>
      </c>
      <c r="K209" s="2" t="s">
        <v>738</v>
      </c>
      <c r="L209" s="2">
        <v>16</v>
      </c>
      <c r="M209" s="2">
        <v>8</v>
      </c>
    </row>
    <row r="210" spans="1:13" x14ac:dyDescent="0.35">
      <c r="A210" s="3">
        <v>45135</v>
      </c>
      <c r="B210" s="2" t="s">
        <v>231</v>
      </c>
      <c r="C210" s="2">
        <f t="shared" si="21"/>
        <v>6</v>
      </c>
      <c r="D210" s="2" t="str">
        <f t="shared" si="18"/>
        <v>Weekend</v>
      </c>
      <c r="E210" s="2">
        <f t="shared" si="22"/>
        <v>7</v>
      </c>
      <c r="F210" s="2" t="str">
        <f t="shared" si="19"/>
        <v>Third</v>
      </c>
      <c r="G210" s="2" t="str">
        <f t="shared" si="20"/>
        <v>Second</v>
      </c>
      <c r="H210" s="2" t="str">
        <f>LOOKUP(DAYS360(DATE(YEAR(A210),1,0),A210), {0,81,171,263,352}, {"Winter","Spring","Summer","Autumn","Winter"})</f>
        <v>Summer</v>
      </c>
      <c r="I210" s="2">
        <f t="shared" si="23"/>
        <v>2023</v>
      </c>
      <c r="J210" s="2" t="s">
        <v>613</v>
      </c>
      <c r="K210" s="2" t="s">
        <v>738</v>
      </c>
      <c r="L210" s="2">
        <v>2</v>
      </c>
      <c r="M210" s="2">
        <v>3</v>
      </c>
    </row>
    <row r="211" spans="1:13" x14ac:dyDescent="0.35">
      <c r="A211" s="3">
        <v>45136</v>
      </c>
      <c r="B211" s="2" t="s">
        <v>232</v>
      </c>
      <c r="C211" s="2">
        <f t="shared" si="21"/>
        <v>7</v>
      </c>
      <c r="D211" s="2" t="str">
        <f t="shared" si="18"/>
        <v>Weekend</v>
      </c>
      <c r="E211" s="2">
        <f t="shared" si="22"/>
        <v>7</v>
      </c>
      <c r="F211" s="2" t="str">
        <f t="shared" si="19"/>
        <v>Third</v>
      </c>
      <c r="G211" s="2" t="str">
        <f t="shared" si="20"/>
        <v>Second</v>
      </c>
      <c r="H211" s="2" t="str">
        <f>LOOKUP(DAYS360(DATE(YEAR(A211),1,0),A211), {0,81,171,263,352}, {"Winter","Spring","Summer","Autumn","Winter"})</f>
        <v>Summer</v>
      </c>
      <c r="I211" s="2">
        <f t="shared" si="23"/>
        <v>2023</v>
      </c>
      <c r="J211" s="2" t="s">
        <v>614</v>
      </c>
      <c r="K211" s="2" t="s">
        <v>738</v>
      </c>
      <c r="L211" s="2">
        <v>4</v>
      </c>
      <c r="M211" s="2">
        <v>4</v>
      </c>
    </row>
    <row r="212" spans="1:13" x14ac:dyDescent="0.35">
      <c r="A212" s="3">
        <v>45137</v>
      </c>
      <c r="B212" s="2" t="s">
        <v>233</v>
      </c>
      <c r="C212" s="2">
        <f t="shared" si="21"/>
        <v>1</v>
      </c>
      <c r="D212" s="2" t="str">
        <f t="shared" si="18"/>
        <v>Workday</v>
      </c>
      <c r="E212" s="2">
        <f t="shared" si="22"/>
        <v>7</v>
      </c>
      <c r="F212" s="2" t="str">
        <f t="shared" si="19"/>
        <v>Third</v>
      </c>
      <c r="G212" s="2" t="str">
        <f t="shared" si="20"/>
        <v>Second</v>
      </c>
      <c r="H212" s="2" t="str">
        <f>LOOKUP(DAYS360(DATE(YEAR(A212),1,0),A212), {0,81,171,263,352}, {"Winter","Spring","Summer","Autumn","Winter"})</f>
        <v>Summer</v>
      </c>
      <c r="I212" s="2">
        <f t="shared" si="23"/>
        <v>2023</v>
      </c>
      <c r="J212" s="2" t="s">
        <v>498</v>
      </c>
      <c r="K212" s="2" t="s">
        <v>738</v>
      </c>
      <c r="L212" s="2">
        <v>18</v>
      </c>
      <c r="M212" s="2">
        <v>14</v>
      </c>
    </row>
    <row r="213" spans="1:13" x14ac:dyDescent="0.35">
      <c r="A213" s="3">
        <v>45138</v>
      </c>
      <c r="B213" s="2" t="s">
        <v>234</v>
      </c>
      <c r="C213" s="2">
        <f t="shared" si="21"/>
        <v>2</v>
      </c>
      <c r="D213" s="2" t="str">
        <f t="shared" si="18"/>
        <v>Workday</v>
      </c>
      <c r="E213" s="2">
        <f t="shared" si="22"/>
        <v>7</v>
      </c>
      <c r="F213" s="2" t="str">
        <f t="shared" si="19"/>
        <v>Third</v>
      </c>
      <c r="G213" s="2" t="str">
        <f t="shared" si="20"/>
        <v>Second</v>
      </c>
      <c r="H213" s="2" t="str">
        <f>LOOKUP(DAYS360(DATE(YEAR(A213),1,0),A213), {0,81,171,263,352}, {"Winter","Spring","Summer","Autumn","Winter"})</f>
        <v>Summer</v>
      </c>
      <c r="I213" s="2">
        <f t="shared" si="23"/>
        <v>2023</v>
      </c>
      <c r="J213" s="2" t="s">
        <v>615</v>
      </c>
      <c r="K213" s="2" t="s">
        <v>738</v>
      </c>
      <c r="L213" s="2">
        <v>3</v>
      </c>
      <c r="M213" s="2">
        <v>20</v>
      </c>
    </row>
    <row r="214" spans="1:13" x14ac:dyDescent="0.35">
      <c r="A214" s="3">
        <v>45139</v>
      </c>
      <c r="B214" s="2" t="s">
        <v>235</v>
      </c>
      <c r="C214" s="2">
        <f t="shared" si="21"/>
        <v>3</v>
      </c>
      <c r="D214" s="2" t="str">
        <f t="shared" si="18"/>
        <v>Workday</v>
      </c>
      <c r="E214" s="2">
        <f t="shared" si="22"/>
        <v>8</v>
      </c>
      <c r="F214" s="2" t="str">
        <f t="shared" si="19"/>
        <v>Third</v>
      </c>
      <c r="G214" s="2" t="str">
        <f t="shared" si="20"/>
        <v>Second</v>
      </c>
      <c r="H214" s="2" t="str">
        <f>LOOKUP(DAYS360(DATE(YEAR(A214),1,0),A214), {0,81,171,263,352}, {"Winter","Spring","Summer","Autumn","Winter"})</f>
        <v>Summer</v>
      </c>
      <c r="I214" s="2">
        <f t="shared" si="23"/>
        <v>2023</v>
      </c>
      <c r="J214" s="2" t="s">
        <v>412</v>
      </c>
      <c r="K214" s="2" t="s">
        <v>735</v>
      </c>
      <c r="L214" s="2">
        <v>4</v>
      </c>
      <c r="M214" s="2">
        <v>14</v>
      </c>
    </row>
    <row r="215" spans="1:13" x14ac:dyDescent="0.35">
      <c r="A215" s="3">
        <v>45140</v>
      </c>
      <c r="B215" s="2" t="s">
        <v>236</v>
      </c>
      <c r="C215" s="2">
        <f t="shared" si="21"/>
        <v>4</v>
      </c>
      <c r="D215" s="2" t="str">
        <f t="shared" si="18"/>
        <v>Workday</v>
      </c>
      <c r="E215" s="2">
        <f t="shared" si="22"/>
        <v>8</v>
      </c>
      <c r="F215" s="2" t="str">
        <f t="shared" si="19"/>
        <v>Third</v>
      </c>
      <c r="G215" s="2" t="str">
        <f t="shared" si="20"/>
        <v>Second</v>
      </c>
      <c r="H215" s="2" t="str">
        <f>LOOKUP(DAYS360(DATE(YEAR(A215),1,0),A215), {0,81,171,263,352}, {"Winter","Spring","Summer","Autumn","Winter"})</f>
        <v>Summer</v>
      </c>
      <c r="I215" s="2">
        <f t="shared" si="23"/>
        <v>2023</v>
      </c>
      <c r="J215" s="2" t="s">
        <v>616</v>
      </c>
      <c r="K215" s="2" t="s">
        <v>735</v>
      </c>
      <c r="L215" s="2">
        <v>13</v>
      </c>
      <c r="M215" s="2">
        <v>16</v>
      </c>
    </row>
    <row r="216" spans="1:13" x14ac:dyDescent="0.35">
      <c r="A216" s="3">
        <v>45141</v>
      </c>
      <c r="B216" s="2" t="s">
        <v>237</v>
      </c>
      <c r="C216" s="2">
        <f t="shared" si="21"/>
        <v>5</v>
      </c>
      <c r="D216" s="2" t="str">
        <f t="shared" si="18"/>
        <v>Workday</v>
      </c>
      <c r="E216" s="2">
        <f t="shared" si="22"/>
        <v>8</v>
      </c>
      <c r="F216" s="2" t="str">
        <f t="shared" si="19"/>
        <v>Third</v>
      </c>
      <c r="G216" s="2" t="str">
        <f t="shared" si="20"/>
        <v>Second</v>
      </c>
      <c r="H216" s="2" t="str">
        <f>LOOKUP(DAYS360(DATE(YEAR(A216),1,0),A216), {0,81,171,263,352}, {"Winter","Spring","Summer","Autumn","Winter"})</f>
        <v>Summer</v>
      </c>
      <c r="I216" s="2">
        <f t="shared" si="23"/>
        <v>2023</v>
      </c>
      <c r="J216" s="2" t="s">
        <v>617</v>
      </c>
      <c r="K216" s="2" t="s">
        <v>735</v>
      </c>
      <c r="L216" s="2">
        <v>9</v>
      </c>
      <c r="M216" s="2">
        <v>7</v>
      </c>
    </row>
    <row r="217" spans="1:13" x14ac:dyDescent="0.35">
      <c r="A217" s="3">
        <v>45142</v>
      </c>
      <c r="B217" s="2" t="s">
        <v>238</v>
      </c>
      <c r="C217" s="2">
        <f t="shared" si="21"/>
        <v>6</v>
      </c>
      <c r="D217" s="2" t="str">
        <f t="shared" si="18"/>
        <v>Weekend</v>
      </c>
      <c r="E217" s="2">
        <f t="shared" si="22"/>
        <v>8</v>
      </c>
      <c r="F217" s="2" t="str">
        <f t="shared" si="19"/>
        <v>Third</v>
      </c>
      <c r="G217" s="2" t="str">
        <f t="shared" si="20"/>
        <v>Second</v>
      </c>
      <c r="H217" s="2" t="str">
        <f>LOOKUP(DAYS360(DATE(YEAR(A217),1,0),A217), {0,81,171,263,352}, {"Winter","Spring","Summer","Autumn","Winter"})</f>
        <v>Summer</v>
      </c>
      <c r="I217" s="2">
        <f t="shared" si="23"/>
        <v>2023</v>
      </c>
      <c r="J217" s="2" t="s">
        <v>414</v>
      </c>
      <c r="K217" s="2" t="s">
        <v>735</v>
      </c>
      <c r="L217" s="2">
        <v>18</v>
      </c>
      <c r="M217" s="2">
        <v>20</v>
      </c>
    </row>
    <row r="218" spans="1:13" x14ac:dyDescent="0.35">
      <c r="A218" s="3">
        <v>45143</v>
      </c>
      <c r="B218" s="2" t="s">
        <v>239</v>
      </c>
      <c r="C218" s="2">
        <f t="shared" si="21"/>
        <v>7</v>
      </c>
      <c r="D218" s="2" t="str">
        <f t="shared" si="18"/>
        <v>Weekend</v>
      </c>
      <c r="E218" s="2">
        <f t="shared" si="22"/>
        <v>8</v>
      </c>
      <c r="F218" s="2" t="str">
        <f t="shared" si="19"/>
        <v>Third</v>
      </c>
      <c r="G218" s="2" t="str">
        <f t="shared" si="20"/>
        <v>Second</v>
      </c>
      <c r="H218" s="2" t="str">
        <f>LOOKUP(DAYS360(DATE(YEAR(A218),1,0),A218), {0,81,171,263,352}, {"Winter","Spring","Summer","Autumn","Winter"})</f>
        <v>Summer</v>
      </c>
      <c r="I218" s="2">
        <f t="shared" si="23"/>
        <v>2023</v>
      </c>
      <c r="J218" s="2" t="s">
        <v>420</v>
      </c>
      <c r="K218" s="2" t="s">
        <v>735</v>
      </c>
      <c r="L218" s="2">
        <v>12</v>
      </c>
      <c r="M218" s="2">
        <v>17</v>
      </c>
    </row>
    <row r="219" spans="1:13" x14ac:dyDescent="0.35">
      <c r="A219" s="3">
        <v>45144</v>
      </c>
      <c r="B219" s="2" t="s">
        <v>240</v>
      </c>
      <c r="C219" s="2">
        <f t="shared" si="21"/>
        <v>1</v>
      </c>
      <c r="D219" s="2" t="str">
        <f t="shared" si="18"/>
        <v>Workday</v>
      </c>
      <c r="E219" s="2">
        <f t="shared" si="22"/>
        <v>8</v>
      </c>
      <c r="F219" s="2" t="str">
        <f t="shared" si="19"/>
        <v>Third</v>
      </c>
      <c r="G219" s="2" t="str">
        <f t="shared" si="20"/>
        <v>Second</v>
      </c>
      <c r="H219" s="2" t="str">
        <f>LOOKUP(DAYS360(DATE(YEAR(A219),1,0),A219), {0,81,171,263,352}, {"Winter","Spring","Summer","Autumn","Winter"})</f>
        <v>Summer</v>
      </c>
      <c r="I219" s="2">
        <f t="shared" si="23"/>
        <v>2023</v>
      </c>
      <c r="J219" s="2" t="s">
        <v>618</v>
      </c>
      <c r="K219" s="2" t="s">
        <v>735</v>
      </c>
      <c r="L219" s="2">
        <v>18</v>
      </c>
      <c r="M219" s="2">
        <v>15</v>
      </c>
    </row>
    <row r="220" spans="1:13" x14ac:dyDescent="0.35">
      <c r="A220" s="3">
        <v>45145</v>
      </c>
      <c r="B220" s="2" t="s">
        <v>241</v>
      </c>
      <c r="C220" s="2">
        <f t="shared" si="21"/>
        <v>2</v>
      </c>
      <c r="D220" s="2" t="str">
        <f t="shared" si="18"/>
        <v>Workday</v>
      </c>
      <c r="E220" s="2">
        <f t="shared" si="22"/>
        <v>8</v>
      </c>
      <c r="F220" s="2" t="str">
        <f t="shared" si="19"/>
        <v>Third</v>
      </c>
      <c r="G220" s="2" t="str">
        <f t="shared" si="20"/>
        <v>Second</v>
      </c>
      <c r="H220" s="2" t="str">
        <f>LOOKUP(DAYS360(DATE(YEAR(A220),1,0),A220), {0,81,171,263,352}, {"Winter","Spring","Summer","Autumn","Winter"})</f>
        <v>Summer</v>
      </c>
      <c r="I220" s="2">
        <f t="shared" si="23"/>
        <v>2023</v>
      </c>
      <c r="J220" s="2" t="s">
        <v>415</v>
      </c>
      <c r="K220" s="2" t="s">
        <v>735</v>
      </c>
      <c r="L220" s="2">
        <v>20</v>
      </c>
      <c r="M220" s="2">
        <v>13</v>
      </c>
    </row>
    <row r="221" spans="1:13" x14ac:dyDescent="0.35">
      <c r="A221" s="3">
        <v>45146</v>
      </c>
      <c r="B221" s="2" t="s">
        <v>242</v>
      </c>
      <c r="C221" s="2">
        <f t="shared" si="21"/>
        <v>3</v>
      </c>
      <c r="D221" s="2" t="str">
        <f t="shared" si="18"/>
        <v>Workday</v>
      </c>
      <c r="E221" s="2">
        <f t="shared" si="22"/>
        <v>8</v>
      </c>
      <c r="F221" s="2" t="str">
        <f t="shared" si="19"/>
        <v>Third</v>
      </c>
      <c r="G221" s="2" t="str">
        <f t="shared" si="20"/>
        <v>Second</v>
      </c>
      <c r="H221" s="2" t="str">
        <f>LOOKUP(DAYS360(DATE(YEAR(A221),1,0),A221), {0,81,171,263,352}, {"Winter","Spring","Summer","Autumn","Winter"})</f>
        <v>Summer</v>
      </c>
      <c r="I221" s="2">
        <f t="shared" si="23"/>
        <v>2023</v>
      </c>
      <c r="J221" s="2" t="s">
        <v>410</v>
      </c>
      <c r="K221" s="2" t="s">
        <v>735</v>
      </c>
      <c r="L221" s="2">
        <v>4</v>
      </c>
      <c r="M221" s="2">
        <v>1</v>
      </c>
    </row>
    <row r="222" spans="1:13" x14ac:dyDescent="0.35">
      <c r="A222" s="3">
        <v>45147</v>
      </c>
      <c r="B222" s="2" t="s">
        <v>243</v>
      </c>
      <c r="C222" s="2">
        <f t="shared" si="21"/>
        <v>4</v>
      </c>
      <c r="D222" s="2" t="str">
        <f t="shared" si="18"/>
        <v>Workday</v>
      </c>
      <c r="E222" s="2">
        <f t="shared" si="22"/>
        <v>8</v>
      </c>
      <c r="F222" s="2" t="str">
        <f t="shared" si="19"/>
        <v>Third</v>
      </c>
      <c r="G222" s="2" t="str">
        <f t="shared" si="20"/>
        <v>Second</v>
      </c>
      <c r="H222" s="2" t="str">
        <f>LOOKUP(DAYS360(DATE(YEAR(A222),1,0),A222), {0,81,171,263,352}, {"Winter","Spring","Summer","Autumn","Winter"})</f>
        <v>Summer</v>
      </c>
      <c r="I222" s="2">
        <f t="shared" si="23"/>
        <v>2023</v>
      </c>
      <c r="J222" s="2" t="s">
        <v>619</v>
      </c>
      <c r="K222" s="2" t="s">
        <v>735</v>
      </c>
      <c r="L222" s="2">
        <v>19</v>
      </c>
      <c r="M222" s="2">
        <v>12</v>
      </c>
    </row>
    <row r="223" spans="1:13" x14ac:dyDescent="0.35">
      <c r="A223" s="3">
        <v>45148</v>
      </c>
      <c r="B223" s="2" t="s">
        <v>244</v>
      </c>
      <c r="C223" s="2">
        <f t="shared" si="21"/>
        <v>5</v>
      </c>
      <c r="D223" s="2" t="str">
        <f t="shared" si="18"/>
        <v>Workday</v>
      </c>
      <c r="E223" s="2">
        <f t="shared" si="22"/>
        <v>8</v>
      </c>
      <c r="F223" s="2" t="str">
        <f t="shared" si="19"/>
        <v>Third</v>
      </c>
      <c r="G223" s="2" t="str">
        <f t="shared" si="20"/>
        <v>Second</v>
      </c>
      <c r="H223" s="2" t="str">
        <f>LOOKUP(DAYS360(DATE(YEAR(A223),1,0),A223), {0,81,171,263,352}, {"Winter","Spring","Summer","Autumn","Winter"})</f>
        <v>Summer</v>
      </c>
      <c r="I223" s="2">
        <f t="shared" si="23"/>
        <v>2023</v>
      </c>
      <c r="J223" s="2" t="s">
        <v>402</v>
      </c>
      <c r="K223" s="2" t="s">
        <v>735</v>
      </c>
      <c r="L223" s="2">
        <v>17</v>
      </c>
      <c r="M223" s="2">
        <v>20</v>
      </c>
    </row>
    <row r="224" spans="1:13" x14ac:dyDescent="0.35">
      <c r="A224" s="3">
        <v>45149</v>
      </c>
      <c r="B224" s="2" t="s">
        <v>245</v>
      </c>
      <c r="C224" s="2">
        <f t="shared" si="21"/>
        <v>6</v>
      </c>
      <c r="D224" s="2" t="str">
        <f t="shared" si="18"/>
        <v>Weekend</v>
      </c>
      <c r="E224" s="2">
        <f t="shared" si="22"/>
        <v>8</v>
      </c>
      <c r="F224" s="2" t="str">
        <f t="shared" si="19"/>
        <v>Third</v>
      </c>
      <c r="G224" s="2" t="str">
        <f t="shared" si="20"/>
        <v>Second</v>
      </c>
      <c r="H224" s="2" t="str">
        <f>LOOKUP(DAYS360(DATE(YEAR(A224),1,0),A224), {0,81,171,263,352}, {"Winter","Spring","Summer","Autumn","Winter"})</f>
        <v>Summer</v>
      </c>
      <c r="I224" s="2">
        <f t="shared" si="23"/>
        <v>2023</v>
      </c>
      <c r="J224" s="2" t="s">
        <v>620</v>
      </c>
      <c r="K224" s="2" t="s">
        <v>735</v>
      </c>
      <c r="L224" s="2">
        <v>7</v>
      </c>
      <c r="M224" s="2">
        <v>6</v>
      </c>
    </row>
    <row r="225" spans="1:13" x14ac:dyDescent="0.35">
      <c r="A225" s="3">
        <v>45150</v>
      </c>
      <c r="B225" s="2" t="s">
        <v>246</v>
      </c>
      <c r="C225" s="2">
        <f t="shared" si="21"/>
        <v>7</v>
      </c>
      <c r="D225" s="2" t="str">
        <f t="shared" ref="D225:D288" si="24">IF(C225&lt;6,"Workday","Weekend")</f>
        <v>Weekend</v>
      </c>
      <c r="E225" s="2">
        <f t="shared" si="22"/>
        <v>8</v>
      </c>
      <c r="F225" s="2" t="str">
        <f t="shared" ref="F225:F288" si="25">IF(E225&lt;4,"First",IF(AND(E225&gt;3,E225&lt;7),"Second",IF(AND(E225&gt;6,E225&lt;10),"Third",IF(E225&gt;9,"Fourth",0))))</f>
        <v>Third</v>
      </c>
      <c r="G225" s="2" t="str">
        <f t="shared" ref="G225:G288" si="26">IF(E225&lt;7,"First","Second")</f>
        <v>Second</v>
      </c>
      <c r="H225" s="2" t="str">
        <f>LOOKUP(DAYS360(DATE(YEAR(A225),1,0),A225), {0,81,171,263,352}, {"Winter","Spring","Summer","Autumn","Winter"})</f>
        <v>Summer</v>
      </c>
      <c r="I225" s="2">
        <f t="shared" si="23"/>
        <v>2023</v>
      </c>
      <c r="J225" s="2" t="s">
        <v>621</v>
      </c>
      <c r="K225" s="2" t="s">
        <v>735</v>
      </c>
      <c r="L225" s="2">
        <v>19</v>
      </c>
      <c r="M225" s="2">
        <v>10</v>
      </c>
    </row>
    <row r="226" spans="1:13" x14ac:dyDescent="0.35">
      <c r="A226" s="3">
        <v>45151</v>
      </c>
      <c r="B226" s="2" t="s">
        <v>247</v>
      </c>
      <c r="C226" s="2">
        <f t="shared" si="21"/>
        <v>1</v>
      </c>
      <c r="D226" s="2" t="str">
        <f t="shared" si="24"/>
        <v>Workday</v>
      </c>
      <c r="E226" s="2">
        <f t="shared" si="22"/>
        <v>8</v>
      </c>
      <c r="F226" s="2" t="str">
        <f t="shared" si="25"/>
        <v>Third</v>
      </c>
      <c r="G226" s="2" t="str">
        <f t="shared" si="26"/>
        <v>Second</v>
      </c>
      <c r="H226" s="2" t="str">
        <f>LOOKUP(DAYS360(DATE(YEAR(A226),1,0),A226), {0,81,171,263,352}, {"Winter","Spring","Summer","Autumn","Winter"})</f>
        <v>Summer</v>
      </c>
      <c r="I226" s="2">
        <f t="shared" si="23"/>
        <v>2023</v>
      </c>
      <c r="J226" s="2" t="s">
        <v>407</v>
      </c>
      <c r="K226" s="2" t="s">
        <v>735</v>
      </c>
      <c r="L226" s="2">
        <v>11</v>
      </c>
      <c r="M226" s="2">
        <v>8</v>
      </c>
    </row>
    <row r="227" spans="1:13" x14ac:dyDescent="0.35">
      <c r="A227" s="3">
        <v>45152</v>
      </c>
      <c r="B227" s="2" t="s">
        <v>248</v>
      </c>
      <c r="C227" s="2">
        <f t="shared" si="21"/>
        <v>2</v>
      </c>
      <c r="D227" s="2" t="str">
        <f t="shared" si="24"/>
        <v>Workday</v>
      </c>
      <c r="E227" s="2">
        <f t="shared" si="22"/>
        <v>8</v>
      </c>
      <c r="F227" s="2" t="str">
        <f t="shared" si="25"/>
        <v>Third</v>
      </c>
      <c r="G227" s="2" t="str">
        <f t="shared" si="26"/>
        <v>Second</v>
      </c>
      <c r="H227" s="2" t="str">
        <f>LOOKUP(DAYS360(DATE(YEAR(A227),1,0),A227), {0,81,171,263,352}, {"Winter","Spring","Summer","Autumn","Winter"})</f>
        <v>Summer</v>
      </c>
      <c r="I227" s="2">
        <f t="shared" si="23"/>
        <v>2023</v>
      </c>
      <c r="J227" s="2" t="s">
        <v>622</v>
      </c>
      <c r="K227" s="2" t="s">
        <v>735</v>
      </c>
      <c r="L227" s="2">
        <v>10</v>
      </c>
      <c r="M227" s="2">
        <v>20</v>
      </c>
    </row>
    <row r="228" spans="1:13" x14ac:dyDescent="0.35">
      <c r="A228" s="3">
        <v>45153</v>
      </c>
      <c r="B228" s="2" t="s">
        <v>249</v>
      </c>
      <c r="C228" s="2">
        <f t="shared" si="21"/>
        <v>3</v>
      </c>
      <c r="D228" s="2" t="str">
        <f t="shared" si="24"/>
        <v>Workday</v>
      </c>
      <c r="E228" s="2">
        <f t="shared" si="22"/>
        <v>8</v>
      </c>
      <c r="F228" s="2" t="str">
        <f t="shared" si="25"/>
        <v>Third</v>
      </c>
      <c r="G228" s="2" t="str">
        <f t="shared" si="26"/>
        <v>Second</v>
      </c>
      <c r="H228" s="2" t="str">
        <f>LOOKUP(DAYS360(DATE(YEAR(A228),1,0),A228), {0,81,171,263,352}, {"Winter","Spring","Summer","Autumn","Winter"})</f>
        <v>Summer</v>
      </c>
      <c r="I228" s="2">
        <f t="shared" si="23"/>
        <v>2023</v>
      </c>
      <c r="J228" s="2" t="s">
        <v>623</v>
      </c>
      <c r="K228" s="2" t="s">
        <v>735</v>
      </c>
      <c r="L228" s="2">
        <v>15</v>
      </c>
      <c r="M228" s="2">
        <v>3</v>
      </c>
    </row>
    <row r="229" spans="1:13" x14ac:dyDescent="0.35">
      <c r="A229" s="3">
        <v>45154</v>
      </c>
      <c r="B229" s="2" t="s">
        <v>250</v>
      </c>
      <c r="C229" s="2">
        <f t="shared" si="21"/>
        <v>4</v>
      </c>
      <c r="D229" s="2" t="str">
        <f t="shared" si="24"/>
        <v>Workday</v>
      </c>
      <c r="E229" s="2">
        <f t="shared" si="22"/>
        <v>8</v>
      </c>
      <c r="F229" s="2" t="str">
        <f t="shared" si="25"/>
        <v>Third</v>
      </c>
      <c r="G229" s="2" t="str">
        <f t="shared" si="26"/>
        <v>Second</v>
      </c>
      <c r="H229" s="2" t="str">
        <f>LOOKUP(DAYS360(DATE(YEAR(A229),1,0),A229), {0,81,171,263,352}, {"Winter","Spring","Summer","Autumn","Winter"})</f>
        <v>Summer</v>
      </c>
      <c r="I229" s="2">
        <f t="shared" si="23"/>
        <v>2023</v>
      </c>
      <c r="J229" s="2" t="s">
        <v>394</v>
      </c>
      <c r="K229" s="2" t="s">
        <v>735</v>
      </c>
      <c r="L229" s="2">
        <v>5</v>
      </c>
      <c r="M229" s="2">
        <v>8</v>
      </c>
    </row>
    <row r="230" spans="1:13" x14ac:dyDescent="0.35">
      <c r="A230" s="3">
        <v>45155</v>
      </c>
      <c r="B230" s="2" t="s">
        <v>251</v>
      </c>
      <c r="C230" s="2">
        <f t="shared" si="21"/>
        <v>5</v>
      </c>
      <c r="D230" s="2" t="str">
        <f t="shared" si="24"/>
        <v>Workday</v>
      </c>
      <c r="E230" s="2">
        <f t="shared" si="22"/>
        <v>8</v>
      </c>
      <c r="F230" s="2" t="str">
        <f t="shared" si="25"/>
        <v>Third</v>
      </c>
      <c r="G230" s="2" t="str">
        <f t="shared" si="26"/>
        <v>Second</v>
      </c>
      <c r="H230" s="2" t="str">
        <f>LOOKUP(DAYS360(DATE(YEAR(A230),1,0),A230), {0,81,171,263,352}, {"Winter","Spring","Summer","Autumn","Winter"})</f>
        <v>Summer</v>
      </c>
      <c r="I230" s="2">
        <f t="shared" si="23"/>
        <v>2023</v>
      </c>
      <c r="J230" s="2" t="s">
        <v>624</v>
      </c>
      <c r="K230" s="2" t="s">
        <v>735</v>
      </c>
      <c r="L230" s="2">
        <v>10</v>
      </c>
      <c r="M230" s="2">
        <v>17</v>
      </c>
    </row>
    <row r="231" spans="1:13" x14ac:dyDescent="0.35">
      <c r="A231" s="3">
        <v>45156</v>
      </c>
      <c r="B231" s="2" t="s">
        <v>252</v>
      </c>
      <c r="C231" s="2">
        <f t="shared" si="21"/>
        <v>6</v>
      </c>
      <c r="D231" s="2" t="str">
        <f t="shared" si="24"/>
        <v>Weekend</v>
      </c>
      <c r="E231" s="2">
        <f t="shared" si="22"/>
        <v>8</v>
      </c>
      <c r="F231" s="2" t="str">
        <f t="shared" si="25"/>
        <v>Third</v>
      </c>
      <c r="G231" s="2" t="str">
        <f t="shared" si="26"/>
        <v>Second</v>
      </c>
      <c r="H231" s="2" t="str">
        <f>LOOKUP(DAYS360(DATE(YEAR(A231),1,0),A231), {0,81,171,263,352}, {"Winter","Spring","Summer","Autumn","Winter"})</f>
        <v>Summer</v>
      </c>
      <c r="I231" s="2">
        <f t="shared" si="23"/>
        <v>2023</v>
      </c>
      <c r="J231" s="2" t="s">
        <v>625</v>
      </c>
      <c r="K231" s="2" t="s">
        <v>735</v>
      </c>
      <c r="L231" s="2">
        <v>6</v>
      </c>
      <c r="M231" s="2">
        <v>11</v>
      </c>
    </row>
    <row r="232" spans="1:13" x14ac:dyDescent="0.35">
      <c r="A232" s="3">
        <v>45157</v>
      </c>
      <c r="B232" s="2" t="s">
        <v>253</v>
      </c>
      <c r="C232" s="2">
        <f t="shared" si="21"/>
        <v>7</v>
      </c>
      <c r="D232" s="2" t="str">
        <f t="shared" si="24"/>
        <v>Weekend</v>
      </c>
      <c r="E232" s="2">
        <f t="shared" si="22"/>
        <v>8</v>
      </c>
      <c r="F232" s="2" t="str">
        <f t="shared" si="25"/>
        <v>Third</v>
      </c>
      <c r="G232" s="2" t="str">
        <f t="shared" si="26"/>
        <v>Second</v>
      </c>
      <c r="H232" s="2" t="str">
        <f>LOOKUP(DAYS360(DATE(YEAR(A232),1,0),A232), {0,81,171,263,352}, {"Winter","Spring","Summer","Autumn","Winter"})</f>
        <v>Summer</v>
      </c>
      <c r="I232" s="2">
        <f t="shared" si="23"/>
        <v>2023</v>
      </c>
      <c r="J232" s="2" t="s">
        <v>626</v>
      </c>
      <c r="K232" s="2" t="s">
        <v>735</v>
      </c>
      <c r="L232" s="2">
        <v>20</v>
      </c>
      <c r="M232" s="2">
        <v>8</v>
      </c>
    </row>
    <row r="233" spans="1:13" x14ac:dyDescent="0.35">
      <c r="A233" s="3">
        <v>45158</v>
      </c>
      <c r="B233" s="2" t="s">
        <v>254</v>
      </c>
      <c r="C233" s="2">
        <f t="shared" si="21"/>
        <v>1</v>
      </c>
      <c r="D233" s="2" t="str">
        <f t="shared" si="24"/>
        <v>Workday</v>
      </c>
      <c r="E233" s="2">
        <f t="shared" si="22"/>
        <v>8</v>
      </c>
      <c r="F233" s="2" t="str">
        <f t="shared" si="25"/>
        <v>Third</v>
      </c>
      <c r="G233" s="2" t="str">
        <f t="shared" si="26"/>
        <v>Second</v>
      </c>
      <c r="H233" s="2" t="str">
        <f>LOOKUP(DAYS360(DATE(YEAR(A233),1,0),A233), {0,81,171,263,352}, {"Winter","Spring","Summer","Autumn","Winter"})</f>
        <v>Summer</v>
      </c>
      <c r="I233" s="2">
        <f t="shared" si="23"/>
        <v>2023</v>
      </c>
      <c r="J233" s="2" t="s">
        <v>627</v>
      </c>
      <c r="K233" s="2" t="s">
        <v>735</v>
      </c>
      <c r="L233" s="2">
        <v>10</v>
      </c>
      <c r="M233" s="2">
        <v>19</v>
      </c>
    </row>
    <row r="234" spans="1:13" x14ac:dyDescent="0.35">
      <c r="A234" s="3">
        <v>45159</v>
      </c>
      <c r="B234" s="2" t="s">
        <v>255</v>
      </c>
      <c r="C234" s="2">
        <f t="shared" si="21"/>
        <v>2</v>
      </c>
      <c r="D234" s="2" t="str">
        <f t="shared" si="24"/>
        <v>Workday</v>
      </c>
      <c r="E234" s="2">
        <f t="shared" si="22"/>
        <v>8</v>
      </c>
      <c r="F234" s="2" t="str">
        <f t="shared" si="25"/>
        <v>Third</v>
      </c>
      <c r="G234" s="2" t="str">
        <f t="shared" si="26"/>
        <v>Second</v>
      </c>
      <c r="H234" s="2" t="str">
        <f>LOOKUP(DAYS360(DATE(YEAR(A234),1,0),A234), {0,81,171,263,352}, {"Winter","Spring","Summer","Autumn","Winter"})</f>
        <v>Summer</v>
      </c>
      <c r="I234" s="2">
        <f t="shared" si="23"/>
        <v>2023</v>
      </c>
      <c r="J234" s="2" t="s">
        <v>628</v>
      </c>
      <c r="K234" s="2" t="s">
        <v>735</v>
      </c>
      <c r="L234" s="2">
        <v>7</v>
      </c>
      <c r="M234" s="2">
        <v>6</v>
      </c>
    </row>
    <row r="235" spans="1:13" x14ac:dyDescent="0.35">
      <c r="A235" s="3">
        <v>45160</v>
      </c>
      <c r="B235" s="2" t="s">
        <v>256</v>
      </c>
      <c r="C235" s="2">
        <f t="shared" si="21"/>
        <v>3</v>
      </c>
      <c r="D235" s="2" t="str">
        <f t="shared" si="24"/>
        <v>Workday</v>
      </c>
      <c r="E235" s="2">
        <f t="shared" si="22"/>
        <v>8</v>
      </c>
      <c r="F235" s="2" t="str">
        <f t="shared" si="25"/>
        <v>Third</v>
      </c>
      <c r="G235" s="2" t="str">
        <f t="shared" si="26"/>
        <v>Second</v>
      </c>
      <c r="H235" s="2" t="str">
        <f>LOOKUP(DAYS360(DATE(YEAR(A235),1,0),A235), {0,81,171,263,352}, {"Winter","Spring","Summer","Autumn","Winter"})</f>
        <v>Summer</v>
      </c>
      <c r="I235" s="2">
        <f t="shared" si="23"/>
        <v>2023</v>
      </c>
      <c r="J235" s="2" t="s">
        <v>629</v>
      </c>
      <c r="K235" s="2" t="s">
        <v>735</v>
      </c>
      <c r="L235" s="2">
        <v>8</v>
      </c>
      <c r="M235" s="2">
        <v>11</v>
      </c>
    </row>
    <row r="236" spans="1:13" x14ac:dyDescent="0.35">
      <c r="A236" s="3">
        <v>45161</v>
      </c>
      <c r="B236" s="2" t="s">
        <v>257</v>
      </c>
      <c r="C236" s="2">
        <f t="shared" si="21"/>
        <v>4</v>
      </c>
      <c r="D236" s="2" t="str">
        <f t="shared" si="24"/>
        <v>Workday</v>
      </c>
      <c r="E236" s="2">
        <f t="shared" si="22"/>
        <v>8</v>
      </c>
      <c r="F236" s="2" t="str">
        <f t="shared" si="25"/>
        <v>Third</v>
      </c>
      <c r="G236" s="2" t="str">
        <f t="shared" si="26"/>
        <v>Second</v>
      </c>
      <c r="H236" s="2" t="str">
        <f>LOOKUP(DAYS360(DATE(YEAR(A236),1,0),A236), {0,81,171,263,352}, {"Winter","Spring","Summer","Autumn","Winter"})</f>
        <v>Summer</v>
      </c>
      <c r="I236" s="2">
        <f t="shared" si="23"/>
        <v>2023</v>
      </c>
      <c r="J236" s="2" t="s">
        <v>630</v>
      </c>
      <c r="K236" s="2" t="s">
        <v>735</v>
      </c>
      <c r="L236" s="2">
        <v>20</v>
      </c>
      <c r="M236" s="2">
        <v>2</v>
      </c>
    </row>
    <row r="237" spans="1:13" x14ac:dyDescent="0.35">
      <c r="A237" s="3">
        <v>45162</v>
      </c>
      <c r="B237" s="2" t="s">
        <v>258</v>
      </c>
      <c r="C237" s="2">
        <f t="shared" si="21"/>
        <v>5</v>
      </c>
      <c r="D237" s="2" t="str">
        <f t="shared" si="24"/>
        <v>Workday</v>
      </c>
      <c r="E237" s="2">
        <f t="shared" si="22"/>
        <v>8</v>
      </c>
      <c r="F237" s="2" t="str">
        <f t="shared" si="25"/>
        <v>Third</v>
      </c>
      <c r="G237" s="2" t="str">
        <f t="shared" si="26"/>
        <v>Second</v>
      </c>
      <c r="H237" s="2" t="str">
        <f>LOOKUP(DAYS360(DATE(YEAR(A237),1,0),A237), {0,81,171,263,352}, {"Winter","Spring","Summer","Autumn","Winter"})</f>
        <v>Summer</v>
      </c>
      <c r="I237" s="2">
        <f t="shared" si="23"/>
        <v>2023</v>
      </c>
      <c r="J237" s="2" t="s">
        <v>631</v>
      </c>
      <c r="K237" s="2" t="s">
        <v>735</v>
      </c>
      <c r="L237" s="2">
        <v>11</v>
      </c>
      <c r="M237" s="2">
        <v>5</v>
      </c>
    </row>
    <row r="238" spans="1:13" x14ac:dyDescent="0.35">
      <c r="A238" s="3">
        <v>45163</v>
      </c>
      <c r="B238" s="2" t="s">
        <v>25</v>
      </c>
      <c r="C238" s="2">
        <f t="shared" si="21"/>
        <v>6</v>
      </c>
      <c r="D238" s="2" t="str">
        <f t="shared" si="24"/>
        <v>Weekend</v>
      </c>
      <c r="E238" s="2">
        <f t="shared" si="22"/>
        <v>8</v>
      </c>
      <c r="F238" s="2" t="str">
        <f t="shared" si="25"/>
        <v>Third</v>
      </c>
      <c r="G238" s="2" t="str">
        <f t="shared" si="26"/>
        <v>Second</v>
      </c>
      <c r="H238" s="2" t="str">
        <f>LOOKUP(DAYS360(DATE(YEAR(A238),1,0),A238), {0,81,171,263,352}, {"Winter","Spring","Summer","Autumn","Winter"})</f>
        <v>Summer</v>
      </c>
      <c r="I238" s="2">
        <f t="shared" si="23"/>
        <v>2023</v>
      </c>
      <c r="J238" s="2" t="s">
        <v>632</v>
      </c>
      <c r="K238" s="2" t="s">
        <v>735</v>
      </c>
      <c r="L238" s="2">
        <v>19</v>
      </c>
      <c r="M238" s="2">
        <v>8</v>
      </c>
    </row>
    <row r="239" spans="1:13" x14ac:dyDescent="0.35">
      <c r="A239" s="3">
        <v>45164</v>
      </c>
      <c r="B239" s="2" t="s">
        <v>259</v>
      </c>
      <c r="C239" s="2">
        <f t="shared" si="21"/>
        <v>7</v>
      </c>
      <c r="D239" s="2" t="str">
        <f t="shared" si="24"/>
        <v>Weekend</v>
      </c>
      <c r="E239" s="2">
        <f t="shared" si="22"/>
        <v>8</v>
      </c>
      <c r="F239" s="2" t="str">
        <f t="shared" si="25"/>
        <v>Third</v>
      </c>
      <c r="G239" s="2" t="str">
        <f t="shared" si="26"/>
        <v>Second</v>
      </c>
      <c r="H239" s="2" t="str">
        <f>LOOKUP(DAYS360(DATE(YEAR(A239),1,0),A239), {0,81,171,263,352}, {"Winter","Spring","Summer","Autumn","Winter"})</f>
        <v>Summer</v>
      </c>
      <c r="I239" s="2">
        <f t="shared" si="23"/>
        <v>2023</v>
      </c>
      <c r="J239" s="2" t="s">
        <v>633</v>
      </c>
      <c r="K239" s="2" t="s">
        <v>735</v>
      </c>
      <c r="L239" s="2">
        <v>4</v>
      </c>
      <c r="M239" s="2">
        <v>18</v>
      </c>
    </row>
    <row r="240" spans="1:13" x14ac:dyDescent="0.35">
      <c r="A240" s="3">
        <v>45165</v>
      </c>
      <c r="B240" s="2" t="s">
        <v>260</v>
      </c>
      <c r="C240" s="2">
        <f t="shared" si="21"/>
        <v>1</v>
      </c>
      <c r="D240" s="2" t="str">
        <f t="shared" si="24"/>
        <v>Workday</v>
      </c>
      <c r="E240" s="2">
        <f t="shared" si="22"/>
        <v>8</v>
      </c>
      <c r="F240" s="2" t="str">
        <f t="shared" si="25"/>
        <v>Third</v>
      </c>
      <c r="G240" s="2" t="str">
        <f t="shared" si="26"/>
        <v>Second</v>
      </c>
      <c r="H240" s="2" t="str">
        <f>LOOKUP(DAYS360(DATE(YEAR(A240),1,0),A240), {0,81,171,263,352}, {"Winter","Spring","Summer","Autumn","Winter"})</f>
        <v>Summer</v>
      </c>
      <c r="I240" s="2">
        <f t="shared" si="23"/>
        <v>2023</v>
      </c>
      <c r="J240" s="2" t="s">
        <v>634</v>
      </c>
      <c r="K240" s="2" t="s">
        <v>735</v>
      </c>
      <c r="L240" s="2">
        <v>9</v>
      </c>
      <c r="M240" s="2">
        <v>9</v>
      </c>
    </row>
    <row r="241" spans="1:13" x14ac:dyDescent="0.35">
      <c r="A241" s="3">
        <v>45166</v>
      </c>
      <c r="B241" s="2" t="s">
        <v>261</v>
      </c>
      <c r="C241" s="2">
        <f t="shared" si="21"/>
        <v>2</v>
      </c>
      <c r="D241" s="2" t="str">
        <f t="shared" si="24"/>
        <v>Workday</v>
      </c>
      <c r="E241" s="2">
        <f t="shared" si="22"/>
        <v>8</v>
      </c>
      <c r="F241" s="2" t="str">
        <f t="shared" si="25"/>
        <v>Third</v>
      </c>
      <c r="G241" s="2" t="str">
        <f t="shared" si="26"/>
        <v>Second</v>
      </c>
      <c r="H241" s="2" t="str">
        <f>LOOKUP(DAYS360(DATE(YEAR(A241),1,0),A241), {0,81,171,263,352}, {"Winter","Spring","Summer","Autumn","Winter"})</f>
        <v>Summer</v>
      </c>
      <c r="I241" s="2">
        <f t="shared" si="23"/>
        <v>2023</v>
      </c>
      <c r="J241" s="2" t="s">
        <v>635</v>
      </c>
      <c r="K241" s="2" t="s">
        <v>735</v>
      </c>
      <c r="L241" s="2">
        <v>13</v>
      </c>
      <c r="M241" s="2">
        <v>3</v>
      </c>
    </row>
    <row r="242" spans="1:13" x14ac:dyDescent="0.35">
      <c r="A242" s="3">
        <v>45167</v>
      </c>
      <c r="B242" s="2" t="s">
        <v>262</v>
      </c>
      <c r="C242" s="2">
        <f t="shared" si="21"/>
        <v>3</v>
      </c>
      <c r="D242" s="2" t="str">
        <f t="shared" si="24"/>
        <v>Workday</v>
      </c>
      <c r="E242" s="2">
        <f t="shared" si="22"/>
        <v>8</v>
      </c>
      <c r="F242" s="2" t="str">
        <f t="shared" si="25"/>
        <v>Third</v>
      </c>
      <c r="G242" s="2" t="str">
        <f t="shared" si="26"/>
        <v>Second</v>
      </c>
      <c r="H242" s="2" t="str">
        <f>LOOKUP(DAYS360(DATE(YEAR(A242),1,0),A242), {0,81,171,263,352}, {"Winter","Spring","Summer","Autumn","Winter"})</f>
        <v>Summer</v>
      </c>
      <c r="I242" s="2">
        <f t="shared" si="23"/>
        <v>2023</v>
      </c>
      <c r="J242" s="2" t="s">
        <v>406</v>
      </c>
      <c r="K242" s="2" t="s">
        <v>735</v>
      </c>
      <c r="L242" s="2">
        <v>17</v>
      </c>
      <c r="M242" s="2">
        <v>18</v>
      </c>
    </row>
    <row r="243" spans="1:13" x14ac:dyDescent="0.35">
      <c r="A243" s="3">
        <v>45168</v>
      </c>
      <c r="B243" s="2" t="s">
        <v>263</v>
      </c>
      <c r="C243" s="2">
        <f t="shared" si="21"/>
        <v>4</v>
      </c>
      <c r="D243" s="2" t="str">
        <f t="shared" si="24"/>
        <v>Workday</v>
      </c>
      <c r="E243" s="2">
        <f t="shared" si="22"/>
        <v>8</v>
      </c>
      <c r="F243" s="2" t="str">
        <f t="shared" si="25"/>
        <v>Third</v>
      </c>
      <c r="G243" s="2" t="str">
        <f t="shared" si="26"/>
        <v>Second</v>
      </c>
      <c r="H243" s="2" t="str">
        <f>LOOKUP(DAYS360(DATE(YEAR(A243),1,0),A243), {0,81,171,263,352}, {"Winter","Spring","Summer","Autumn","Winter"})</f>
        <v>Summer</v>
      </c>
      <c r="I243" s="2">
        <f t="shared" si="23"/>
        <v>2023</v>
      </c>
      <c r="J243" s="2" t="s">
        <v>636</v>
      </c>
      <c r="K243" s="2" t="s">
        <v>735</v>
      </c>
      <c r="L243" s="2">
        <v>13</v>
      </c>
      <c r="M243" s="2">
        <v>4</v>
      </c>
    </row>
    <row r="244" spans="1:13" x14ac:dyDescent="0.35">
      <c r="A244" s="3">
        <v>45169</v>
      </c>
      <c r="B244" s="2" t="s">
        <v>264</v>
      </c>
      <c r="C244" s="2">
        <f t="shared" si="21"/>
        <v>5</v>
      </c>
      <c r="D244" s="2" t="str">
        <f t="shared" si="24"/>
        <v>Workday</v>
      </c>
      <c r="E244" s="2">
        <f t="shared" si="22"/>
        <v>8</v>
      </c>
      <c r="F244" s="2" t="str">
        <f t="shared" si="25"/>
        <v>Third</v>
      </c>
      <c r="G244" s="2" t="str">
        <f t="shared" si="26"/>
        <v>Second</v>
      </c>
      <c r="H244" s="2" t="str">
        <f>LOOKUP(DAYS360(DATE(YEAR(A244),1,0),A244), {0,81,171,263,352}, {"Winter","Spring","Summer","Autumn","Winter"})</f>
        <v>Summer</v>
      </c>
      <c r="I244" s="2">
        <f t="shared" si="23"/>
        <v>2023</v>
      </c>
      <c r="J244" s="2" t="s">
        <v>637</v>
      </c>
      <c r="K244" s="2" t="s">
        <v>735</v>
      </c>
      <c r="L244" s="2">
        <v>5</v>
      </c>
      <c r="M244" s="2">
        <v>17</v>
      </c>
    </row>
    <row r="245" spans="1:13" x14ac:dyDescent="0.35">
      <c r="A245" s="3">
        <v>45170</v>
      </c>
      <c r="B245" s="2" t="s">
        <v>265</v>
      </c>
      <c r="C245" s="2">
        <f t="shared" si="21"/>
        <v>6</v>
      </c>
      <c r="D245" s="2" t="str">
        <f t="shared" si="24"/>
        <v>Weekend</v>
      </c>
      <c r="E245" s="2">
        <f t="shared" si="22"/>
        <v>9</v>
      </c>
      <c r="F245" s="2" t="str">
        <f t="shared" si="25"/>
        <v>Third</v>
      </c>
      <c r="G245" s="2" t="str">
        <f t="shared" si="26"/>
        <v>Second</v>
      </c>
      <c r="H245" s="2" t="str">
        <f>LOOKUP(DAYS360(DATE(YEAR(A245),1,0),A245), {0,81,171,263,352}, {"Winter","Spring","Summer","Autumn","Winter"})</f>
        <v>Summer</v>
      </c>
      <c r="I245" s="2">
        <f t="shared" si="23"/>
        <v>2023</v>
      </c>
      <c r="J245" s="2" t="s">
        <v>638</v>
      </c>
      <c r="K245" s="2" t="s">
        <v>735</v>
      </c>
      <c r="L245" s="2">
        <v>16</v>
      </c>
      <c r="M245" s="2">
        <v>19</v>
      </c>
    </row>
    <row r="246" spans="1:13" x14ac:dyDescent="0.35">
      <c r="A246" s="3">
        <v>45171</v>
      </c>
      <c r="B246" s="2" t="s">
        <v>266</v>
      </c>
      <c r="C246" s="2">
        <f t="shared" si="21"/>
        <v>7</v>
      </c>
      <c r="D246" s="2" t="str">
        <f t="shared" si="24"/>
        <v>Weekend</v>
      </c>
      <c r="E246" s="2">
        <f t="shared" si="22"/>
        <v>9</v>
      </c>
      <c r="F246" s="2" t="str">
        <f t="shared" si="25"/>
        <v>Third</v>
      </c>
      <c r="G246" s="2" t="str">
        <f t="shared" si="26"/>
        <v>Second</v>
      </c>
      <c r="H246" s="2" t="str">
        <f>LOOKUP(DAYS360(DATE(YEAR(A246),1,0),A246), {0,81,171,263,352}, {"Winter","Spring","Summer","Autumn","Winter"})</f>
        <v>Summer</v>
      </c>
      <c r="I246" s="2">
        <f t="shared" si="23"/>
        <v>2023</v>
      </c>
      <c r="J246" s="2" t="s">
        <v>498</v>
      </c>
      <c r="K246" s="2" t="s">
        <v>735</v>
      </c>
      <c r="L246" s="2">
        <v>6</v>
      </c>
      <c r="M246" s="2">
        <v>10</v>
      </c>
    </row>
    <row r="247" spans="1:13" x14ac:dyDescent="0.35">
      <c r="A247" s="3">
        <v>45172</v>
      </c>
      <c r="B247" s="2" t="s">
        <v>267</v>
      </c>
      <c r="C247" s="2">
        <f t="shared" si="21"/>
        <v>1</v>
      </c>
      <c r="D247" s="2" t="str">
        <f t="shared" si="24"/>
        <v>Workday</v>
      </c>
      <c r="E247" s="2">
        <f t="shared" si="22"/>
        <v>9</v>
      </c>
      <c r="F247" s="2" t="str">
        <f t="shared" si="25"/>
        <v>Third</v>
      </c>
      <c r="G247" s="2" t="str">
        <f t="shared" si="26"/>
        <v>Second</v>
      </c>
      <c r="H247" s="2" t="str">
        <f>LOOKUP(DAYS360(DATE(YEAR(A247),1,0),A247), {0,81,171,263,352}, {"Winter","Spring","Summer","Autumn","Winter"})</f>
        <v>Summer</v>
      </c>
      <c r="I247" s="2">
        <f t="shared" si="23"/>
        <v>2023</v>
      </c>
      <c r="J247" s="2" t="s">
        <v>639</v>
      </c>
      <c r="K247" s="2" t="s">
        <v>735</v>
      </c>
      <c r="L247" s="2">
        <v>4</v>
      </c>
      <c r="M247" s="2">
        <v>16</v>
      </c>
    </row>
    <row r="248" spans="1:13" x14ac:dyDescent="0.35">
      <c r="A248" s="3">
        <v>45173</v>
      </c>
      <c r="B248" s="2" t="s">
        <v>268</v>
      </c>
      <c r="C248" s="2">
        <f t="shared" si="21"/>
        <v>2</v>
      </c>
      <c r="D248" s="2" t="str">
        <f t="shared" si="24"/>
        <v>Workday</v>
      </c>
      <c r="E248" s="2">
        <f t="shared" si="22"/>
        <v>9</v>
      </c>
      <c r="F248" s="2" t="str">
        <f t="shared" si="25"/>
        <v>Third</v>
      </c>
      <c r="G248" s="2" t="str">
        <f t="shared" si="26"/>
        <v>Second</v>
      </c>
      <c r="H248" s="2" t="str">
        <f>LOOKUP(DAYS360(DATE(YEAR(A248),1,0),A248), {0,81,171,263,352}, {"Winter","Spring","Summer","Autumn","Winter"})</f>
        <v>Summer</v>
      </c>
      <c r="I248" s="2">
        <f t="shared" si="23"/>
        <v>2023</v>
      </c>
      <c r="J248" s="2" t="s">
        <v>640</v>
      </c>
      <c r="K248" s="2" t="s">
        <v>735</v>
      </c>
      <c r="L248" s="2">
        <v>8</v>
      </c>
      <c r="M248" s="2">
        <v>15</v>
      </c>
    </row>
    <row r="249" spans="1:13" x14ac:dyDescent="0.35">
      <c r="A249" s="3">
        <v>45174</v>
      </c>
      <c r="B249" s="2" t="s">
        <v>269</v>
      </c>
      <c r="C249" s="2">
        <f t="shared" si="21"/>
        <v>3</v>
      </c>
      <c r="D249" s="2" t="str">
        <f t="shared" si="24"/>
        <v>Workday</v>
      </c>
      <c r="E249" s="2">
        <f t="shared" si="22"/>
        <v>9</v>
      </c>
      <c r="F249" s="2" t="str">
        <f t="shared" si="25"/>
        <v>Third</v>
      </c>
      <c r="G249" s="2" t="str">
        <f t="shared" si="26"/>
        <v>Second</v>
      </c>
      <c r="H249" s="2" t="str">
        <f>LOOKUP(DAYS360(DATE(YEAR(A249),1,0),A249), {0,81,171,263,352}, {"Winter","Spring","Summer","Autumn","Winter"})</f>
        <v>Summer</v>
      </c>
      <c r="I249" s="2">
        <f t="shared" si="23"/>
        <v>2023</v>
      </c>
      <c r="J249" s="2" t="s">
        <v>385</v>
      </c>
      <c r="K249" s="2" t="s">
        <v>735</v>
      </c>
      <c r="L249" s="2">
        <v>7</v>
      </c>
      <c r="M249" s="2">
        <v>1</v>
      </c>
    </row>
    <row r="250" spans="1:13" x14ac:dyDescent="0.35">
      <c r="A250" s="3">
        <v>45175</v>
      </c>
      <c r="B250" s="2" t="s">
        <v>270</v>
      </c>
      <c r="C250" s="2">
        <f t="shared" si="21"/>
        <v>4</v>
      </c>
      <c r="D250" s="2" t="str">
        <f t="shared" si="24"/>
        <v>Workday</v>
      </c>
      <c r="E250" s="2">
        <f t="shared" si="22"/>
        <v>9</v>
      </c>
      <c r="F250" s="2" t="str">
        <f t="shared" si="25"/>
        <v>Third</v>
      </c>
      <c r="G250" s="2" t="str">
        <f t="shared" si="26"/>
        <v>Second</v>
      </c>
      <c r="H250" s="2" t="str">
        <f>LOOKUP(DAYS360(DATE(YEAR(A250),1,0),A250), {0,81,171,263,352}, {"Winter","Spring","Summer","Autumn","Winter"})</f>
        <v>Summer</v>
      </c>
      <c r="I250" s="2">
        <f t="shared" si="23"/>
        <v>2023</v>
      </c>
      <c r="J250" s="2" t="s">
        <v>641</v>
      </c>
      <c r="K250" s="2" t="s">
        <v>735</v>
      </c>
      <c r="L250" s="2">
        <v>5</v>
      </c>
      <c r="M250" s="2">
        <v>16</v>
      </c>
    </row>
    <row r="251" spans="1:13" x14ac:dyDescent="0.35">
      <c r="A251" s="3">
        <v>45176</v>
      </c>
      <c r="B251" s="2" t="s">
        <v>271</v>
      </c>
      <c r="C251" s="2">
        <f t="shared" si="21"/>
        <v>5</v>
      </c>
      <c r="D251" s="2" t="str">
        <f t="shared" si="24"/>
        <v>Workday</v>
      </c>
      <c r="E251" s="2">
        <f t="shared" si="22"/>
        <v>9</v>
      </c>
      <c r="F251" s="2" t="str">
        <f t="shared" si="25"/>
        <v>Third</v>
      </c>
      <c r="G251" s="2" t="str">
        <f t="shared" si="26"/>
        <v>Second</v>
      </c>
      <c r="H251" s="2" t="str">
        <f>LOOKUP(DAYS360(DATE(YEAR(A251),1,0),A251), {0,81,171,263,352}, {"Winter","Spring","Summer","Autumn","Winter"})</f>
        <v>Summer</v>
      </c>
      <c r="I251" s="2">
        <f t="shared" si="23"/>
        <v>2023</v>
      </c>
      <c r="J251" s="2" t="s">
        <v>642</v>
      </c>
      <c r="K251" s="2" t="s">
        <v>735</v>
      </c>
      <c r="L251" s="2">
        <v>13</v>
      </c>
      <c r="M251" s="2">
        <v>7</v>
      </c>
    </row>
    <row r="252" spans="1:13" x14ac:dyDescent="0.35">
      <c r="A252" s="3">
        <v>45177</v>
      </c>
      <c r="B252" s="2" t="s">
        <v>272</v>
      </c>
      <c r="C252" s="2">
        <f t="shared" si="21"/>
        <v>6</v>
      </c>
      <c r="D252" s="2" t="str">
        <f t="shared" si="24"/>
        <v>Weekend</v>
      </c>
      <c r="E252" s="2">
        <f t="shared" si="22"/>
        <v>9</v>
      </c>
      <c r="F252" s="2" t="str">
        <f t="shared" si="25"/>
        <v>Third</v>
      </c>
      <c r="G252" s="2" t="str">
        <f t="shared" si="26"/>
        <v>Second</v>
      </c>
      <c r="H252" s="2" t="str">
        <f>LOOKUP(DAYS360(DATE(YEAR(A252),1,0),A252), {0,81,171,263,352}, {"Winter","Spring","Summer","Autumn","Winter"})</f>
        <v>Summer</v>
      </c>
      <c r="I252" s="2">
        <f t="shared" si="23"/>
        <v>2023</v>
      </c>
      <c r="J252" s="2" t="s">
        <v>643</v>
      </c>
      <c r="K252" s="2" t="s">
        <v>735</v>
      </c>
      <c r="L252" s="2">
        <v>5</v>
      </c>
      <c r="M252" s="2">
        <v>11</v>
      </c>
    </row>
    <row r="253" spans="1:13" x14ac:dyDescent="0.35">
      <c r="A253" s="3">
        <v>45178</v>
      </c>
      <c r="B253" s="2" t="s">
        <v>273</v>
      </c>
      <c r="C253" s="2">
        <f t="shared" si="21"/>
        <v>7</v>
      </c>
      <c r="D253" s="2" t="str">
        <f t="shared" si="24"/>
        <v>Weekend</v>
      </c>
      <c r="E253" s="2">
        <f t="shared" si="22"/>
        <v>9</v>
      </c>
      <c r="F253" s="2" t="str">
        <f t="shared" si="25"/>
        <v>Third</v>
      </c>
      <c r="G253" s="2" t="str">
        <f t="shared" si="26"/>
        <v>Second</v>
      </c>
      <c r="H253" s="2" t="str">
        <f>LOOKUP(DAYS360(DATE(YEAR(A253),1,0),A253), {0,81,171,263,352}, {"Winter","Spring","Summer","Autumn","Winter"})</f>
        <v>Summer</v>
      </c>
      <c r="I253" s="2">
        <f t="shared" si="23"/>
        <v>2023</v>
      </c>
      <c r="J253" s="2" t="s">
        <v>644</v>
      </c>
      <c r="K253" s="2" t="s">
        <v>735</v>
      </c>
      <c r="L253" s="2">
        <v>4</v>
      </c>
      <c r="M253" s="2">
        <v>8</v>
      </c>
    </row>
    <row r="254" spans="1:13" x14ac:dyDescent="0.35">
      <c r="A254" s="3">
        <v>45179</v>
      </c>
      <c r="B254" s="2" t="s">
        <v>274</v>
      </c>
      <c r="C254" s="2">
        <f t="shared" si="21"/>
        <v>1</v>
      </c>
      <c r="D254" s="2" t="str">
        <f t="shared" si="24"/>
        <v>Workday</v>
      </c>
      <c r="E254" s="2">
        <f t="shared" si="22"/>
        <v>9</v>
      </c>
      <c r="F254" s="2" t="str">
        <f t="shared" si="25"/>
        <v>Third</v>
      </c>
      <c r="G254" s="2" t="str">
        <f t="shared" si="26"/>
        <v>Second</v>
      </c>
      <c r="H254" s="2" t="str">
        <f>LOOKUP(DAYS360(DATE(YEAR(A254),1,0),A254), {0,81,171,263,352}, {"Winter","Spring","Summer","Autumn","Winter"})</f>
        <v>Summer</v>
      </c>
      <c r="I254" s="2">
        <f t="shared" si="23"/>
        <v>2023</v>
      </c>
      <c r="J254" s="2" t="s">
        <v>645</v>
      </c>
      <c r="K254" s="2" t="s">
        <v>735</v>
      </c>
      <c r="L254" s="2">
        <v>3</v>
      </c>
      <c r="M254" s="2">
        <v>1</v>
      </c>
    </row>
    <row r="255" spans="1:13" x14ac:dyDescent="0.35">
      <c r="A255" s="3">
        <v>45180</v>
      </c>
      <c r="B255" s="2" t="s">
        <v>275</v>
      </c>
      <c r="C255" s="2">
        <f t="shared" si="21"/>
        <v>2</v>
      </c>
      <c r="D255" s="2" t="str">
        <f t="shared" si="24"/>
        <v>Workday</v>
      </c>
      <c r="E255" s="2">
        <f t="shared" si="22"/>
        <v>9</v>
      </c>
      <c r="F255" s="2" t="str">
        <f t="shared" si="25"/>
        <v>Third</v>
      </c>
      <c r="G255" s="2" t="str">
        <f t="shared" si="26"/>
        <v>Second</v>
      </c>
      <c r="H255" s="2" t="str">
        <f>LOOKUP(DAYS360(DATE(YEAR(A255),1,0),A255), {0,81,171,263,352}, {"Winter","Spring","Summer","Autumn","Winter"})</f>
        <v>Summer</v>
      </c>
      <c r="I255" s="2">
        <f t="shared" si="23"/>
        <v>2023</v>
      </c>
      <c r="J255" s="2" t="s">
        <v>646</v>
      </c>
      <c r="K255" s="2" t="s">
        <v>735</v>
      </c>
      <c r="L255" s="2">
        <v>6</v>
      </c>
      <c r="M255" s="2">
        <v>12</v>
      </c>
    </row>
    <row r="256" spans="1:13" x14ac:dyDescent="0.35">
      <c r="A256" s="3">
        <v>45181</v>
      </c>
      <c r="B256" s="2" t="s">
        <v>17</v>
      </c>
      <c r="C256" s="2">
        <f t="shared" si="21"/>
        <v>3</v>
      </c>
      <c r="D256" s="2" t="str">
        <f t="shared" si="24"/>
        <v>Workday</v>
      </c>
      <c r="E256" s="2">
        <f t="shared" si="22"/>
        <v>9</v>
      </c>
      <c r="F256" s="2" t="str">
        <f t="shared" si="25"/>
        <v>Third</v>
      </c>
      <c r="G256" s="2" t="str">
        <f t="shared" si="26"/>
        <v>Second</v>
      </c>
      <c r="H256" s="2" t="str">
        <f>LOOKUP(DAYS360(DATE(YEAR(A256),1,0),A256), {0,81,171,263,352}, {"Winter","Spring","Summer","Autumn","Winter"})</f>
        <v>Summer</v>
      </c>
      <c r="I256" s="2">
        <f t="shared" si="23"/>
        <v>2023</v>
      </c>
      <c r="J256" s="2" t="s">
        <v>647</v>
      </c>
      <c r="K256" s="2" t="s">
        <v>735</v>
      </c>
      <c r="L256" s="2">
        <v>20</v>
      </c>
      <c r="M256" s="2">
        <v>10</v>
      </c>
    </row>
    <row r="257" spans="1:13" x14ac:dyDescent="0.35">
      <c r="A257" s="3">
        <v>45182</v>
      </c>
      <c r="B257" s="2" t="s">
        <v>276</v>
      </c>
      <c r="C257" s="2">
        <f t="shared" si="21"/>
        <v>4</v>
      </c>
      <c r="D257" s="2" t="str">
        <f t="shared" si="24"/>
        <v>Workday</v>
      </c>
      <c r="E257" s="2">
        <f t="shared" si="22"/>
        <v>9</v>
      </c>
      <c r="F257" s="2" t="str">
        <f t="shared" si="25"/>
        <v>Third</v>
      </c>
      <c r="G257" s="2" t="str">
        <f t="shared" si="26"/>
        <v>Second</v>
      </c>
      <c r="H257" s="2" t="str">
        <f>LOOKUP(DAYS360(DATE(YEAR(A257),1,0),A257), {0,81,171,263,352}, {"Winter","Spring","Summer","Autumn","Winter"})</f>
        <v>Summer</v>
      </c>
      <c r="I257" s="2">
        <f t="shared" si="23"/>
        <v>2023</v>
      </c>
      <c r="J257" s="2" t="s">
        <v>648</v>
      </c>
      <c r="K257" s="2" t="s">
        <v>735</v>
      </c>
      <c r="L257" s="2">
        <v>9</v>
      </c>
      <c r="M257" s="2">
        <v>17</v>
      </c>
    </row>
    <row r="258" spans="1:13" x14ac:dyDescent="0.35">
      <c r="A258" s="3">
        <v>45183</v>
      </c>
      <c r="B258" s="2" t="s">
        <v>277</v>
      </c>
      <c r="C258" s="2">
        <f t="shared" ref="C258:C321" si="27">WEEKDAY(A258)</f>
        <v>5</v>
      </c>
      <c r="D258" s="2" t="str">
        <f t="shared" si="24"/>
        <v>Workday</v>
      </c>
      <c r="E258" s="2">
        <f t="shared" ref="E258:E321" si="28">MONTH(A258)</f>
        <v>9</v>
      </c>
      <c r="F258" s="2" t="str">
        <f t="shared" si="25"/>
        <v>Third</v>
      </c>
      <c r="G258" s="2" t="str">
        <f t="shared" si="26"/>
        <v>Second</v>
      </c>
      <c r="H258" s="2" t="str">
        <f>LOOKUP(DAYS360(DATE(YEAR(A258),1,0),A258), {0,81,171,263,352}, {"Winter","Spring","Summer","Autumn","Winter"})</f>
        <v>Summer</v>
      </c>
      <c r="I258" s="2">
        <f t="shared" ref="I258:I321" si="29">YEAR(A258)</f>
        <v>2023</v>
      </c>
      <c r="J258" s="2" t="s">
        <v>649</v>
      </c>
      <c r="K258" s="2" t="s">
        <v>735</v>
      </c>
      <c r="L258" s="2">
        <v>15</v>
      </c>
      <c r="M258" s="2">
        <v>19</v>
      </c>
    </row>
    <row r="259" spans="1:13" x14ac:dyDescent="0.35">
      <c r="A259" s="3">
        <v>45184</v>
      </c>
      <c r="B259" s="2" t="s">
        <v>278</v>
      </c>
      <c r="C259" s="2">
        <f t="shared" si="27"/>
        <v>6</v>
      </c>
      <c r="D259" s="2" t="str">
        <f t="shared" si="24"/>
        <v>Weekend</v>
      </c>
      <c r="E259" s="2">
        <f t="shared" si="28"/>
        <v>9</v>
      </c>
      <c r="F259" s="2" t="str">
        <f t="shared" si="25"/>
        <v>Third</v>
      </c>
      <c r="G259" s="2" t="str">
        <f t="shared" si="26"/>
        <v>Second</v>
      </c>
      <c r="H259" s="2" t="str">
        <f>LOOKUP(DAYS360(DATE(YEAR(A259),1,0),A259), {0,81,171,263,352}, {"Winter","Spring","Summer","Autumn","Winter"})</f>
        <v>Summer</v>
      </c>
      <c r="I259" s="2">
        <f t="shared" si="29"/>
        <v>2023</v>
      </c>
      <c r="J259" s="2" t="s">
        <v>650</v>
      </c>
      <c r="K259" s="2" t="s">
        <v>735</v>
      </c>
      <c r="L259" s="2">
        <v>10</v>
      </c>
      <c r="M259" s="2">
        <v>9</v>
      </c>
    </row>
    <row r="260" spans="1:13" x14ac:dyDescent="0.35">
      <c r="A260" s="3">
        <v>45185</v>
      </c>
      <c r="B260" s="2" t="s">
        <v>279</v>
      </c>
      <c r="C260" s="2">
        <f t="shared" si="27"/>
        <v>7</v>
      </c>
      <c r="D260" s="2" t="str">
        <f t="shared" si="24"/>
        <v>Weekend</v>
      </c>
      <c r="E260" s="2">
        <f t="shared" si="28"/>
        <v>9</v>
      </c>
      <c r="F260" s="2" t="str">
        <f t="shared" si="25"/>
        <v>Third</v>
      </c>
      <c r="G260" s="2" t="str">
        <f t="shared" si="26"/>
        <v>Second</v>
      </c>
      <c r="H260" s="2" t="str">
        <f>LOOKUP(DAYS360(DATE(YEAR(A260),1,0),A260), {0,81,171,263,352}, {"Winter","Spring","Summer","Autumn","Winter"})</f>
        <v>Summer</v>
      </c>
      <c r="I260" s="2">
        <f t="shared" si="29"/>
        <v>2023</v>
      </c>
      <c r="J260" s="2" t="s">
        <v>651</v>
      </c>
      <c r="K260" s="2" t="s">
        <v>735</v>
      </c>
      <c r="L260" s="2">
        <v>11</v>
      </c>
      <c r="M260" s="2">
        <v>16</v>
      </c>
    </row>
    <row r="261" spans="1:13" x14ac:dyDescent="0.35">
      <c r="A261" s="3">
        <v>45186</v>
      </c>
      <c r="B261" s="2" t="s">
        <v>280</v>
      </c>
      <c r="C261" s="2">
        <f t="shared" si="27"/>
        <v>1</v>
      </c>
      <c r="D261" s="2" t="str">
        <f t="shared" si="24"/>
        <v>Workday</v>
      </c>
      <c r="E261" s="2">
        <f t="shared" si="28"/>
        <v>9</v>
      </c>
      <c r="F261" s="2" t="str">
        <f t="shared" si="25"/>
        <v>Third</v>
      </c>
      <c r="G261" s="2" t="str">
        <f t="shared" si="26"/>
        <v>Second</v>
      </c>
      <c r="H261" s="2" t="str">
        <f>LOOKUP(DAYS360(DATE(YEAR(A261),1,0),A261), {0,81,171,263,352}, {"Winter","Spring","Summer","Autumn","Winter"})</f>
        <v>Summer</v>
      </c>
      <c r="I261" s="2">
        <f t="shared" si="29"/>
        <v>2023</v>
      </c>
      <c r="J261" s="2" t="s">
        <v>652</v>
      </c>
      <c r="K261" s="2" t="s">
        <v>735</v>
      </c>
      <c r="L261" s="2">
        <v>19</v>
      </c>
      <c r="M261" s="2">
        <v>2</v>
      </c>
    </row>
    <row r="262" spans="1:13" x14ac:dyDescent="0.35">
      <c r="A262" s="3">
        <v>45187</v>
      </c>
      <c r="B262" s="2" t="s">
        <v>281</v>
      </c>
      <c r="C262" s="2">
        <f t="shared" si="27"/>
        <v>2</v>
      </c>
      <c r="D262" s="2" t="str">
        <f t="shared" si="24"/>
        <v>Workday</v>
      </c>
      <c r="E262" s="2">
        <f t="shared" si="28"/>
        <v>9</v>
      </c>
      <c r="F262" s="2" t="str">
        <f t="shared" si="25"/>
        <v>Third</v>
      </c>
      <c r="G262" s="2" t="str">
        <f t="shared" si="26"/>
        <v>Second</v>
      </c>
      <c r="H262" s="2" t="str">
        <f>LOOKUP(DAYS360(DATE(YEAR(A262),1,0),A262), {0,81,171,263,352}, {"Winter","Spring","Summer","Autumn","Winter"})</f>
        <v>Summer</v>
      </c>
      <c r="I262" s="2">
        <f t="shared" si="29"/>
        <v>2023</v>
      </c>
      <c r="J262" s="2" t="s">
        <v>653</v>
      </c>
      <c r="K262" s="2" t="s">
        <v>735</v>
      </c>
      <c r="L262" s="2">
        <v>16</v>
      </c>
      <c r="M262" s="2">
        <v>10</v>
      </c>
    </row>
    <row r="263" spans="1:13" x14ac:dyDescent="0.35">
      <c r="A263" s="3">
        <v>45188</v>
      </c>
      <c r="B263" s="2" t="s">
        <v>282</v>
      </c>
      <c r="C263" s="2">
        <f t="shared" si="27"/>
        <v>3</v>
      </c>
      <c r="D263" s="2" t="str">
        <f t="shared" si="24"/>
        <v>Workday</v>
      </c>
      <c r="E263" s="2">
        <f t="shared" si="28"/>
        <v>9</v>
      </c>
      <c r="F263" s="2" t="str">
        <f t="shared" si="25"/>
        <v>Third</v>
      </c>
      <c r="G263" s="2" t="str">
        <f t="shared" si="26"/>
        <v>Second</v>
      </c>
      <c r="H263" s="2" t="str">
        <f>LOOKUP(DAYS360(DATE(YEAR(A263),1,0),A263), {0,81,171,263,352}, {"Winter","Spring","Summer","Autumn","Winter"})</f>
        <v>Summer</v>
      </c>
      <c r="I263" s="2">
        <f t="shared" si="29"/>
        <v>2023</v>
      </c>
      <c r="J263" s="2" t="s">
        <v>654</v>
      </c>
      <c r="K263" s="2" t="s">
        <v>735</v>
      </c>
      <c r="L263" s="2">
        <v>6</v>
      </c>
      <c r="M263" s="2">
        <v>19</v>
      </c>
    </row>
    <row r="264" spans="1:13" x14ac:dyDescent="0.35">
      <c r="A264" s="3">
        <v>45189</v>
      </c>
      <c r="B264" s="2" t="s">
        <v>283</v>
      </c>
      <c r="C264" s="2">
        <f t="shared" si="27"/>
        <v>4</v>
      </c>
      <c r="D264" s="2" t="str">
        <f t="shared" si="24"/>
        <v>Workday</v>
      </c>
      <c r="E264" s="2">
        <f t="shared" si="28"/>
        <v>9</v>
      </c>
      <c r="F264" s="2" t="str">
        <f t="shared" si="25"/>
        <v>Third</v>
      </c>
      <c r="G264" s="2" t="str">
        <f t="shared" si="26"/>
        <v>Second</v>
      </c>
      <c r="H264" s="2" t="str">
        <f>LOOKUP(DAYS360(DATE(YEAR(A264),1,0),A264), {0,81,171,263,352}, {"Winter","Spring","Summer","Autumn","Winter"})</f>
        <v>Summer</v>
      </c>
      <c r="I264" s="2">
        <f t="shared" si="29"/>
        <v>2023</v>
      </c>
      <c r="J264" s="2" t="s">
        <v>655</v>
      </c>
      <c r="K264" s="2" t="s">
        <v>735</v>
      </c>
      <c r="L264" s="2">
        <v>12</v>
      </c>
      <c r="M264" s="2">
        <v>7</v>
      </c>
    </row>
    <row r="265" spans="1:13" x14ac:dyDescent="0.35">
      <c r="A265" s="3">
        <v>45190</v>
      </c>
      <c r="B265" s="2" t="s">
        <v>284</v>
      </c>
      <c r="C265" s="2">
        <f t="shared" si="27"/>
        <v>5</v>
      </c>
      <c r="D265" s="2" t="str">
        <f t="shared" si="24"/>
        <v>Workday</v>
      </c>
      <c r="E265" s="2">
        <f t="shared" si="28"/>
        <v>9</v>
      </c>
      <c r="F265" s="2" t="str">
        <f t="shared" si="25"/>
        <v>Third</v>
      </c>
      <c r="G265" s="2" t="str">
        <f t="shared" si="26"/>
        <v>Second</v>
      </c>
      <c r="H265" s="2" t="str">
        <f>LOOKUP(DAYS360(DATE(YEAR(A265),1,0),A265), {0,81,171,263,352}, {"Winter","Spring","Summer","Autumn","Winter"})</f>
        <v>Summer</v>
      </c>
      <c r="I265" s="2">
        <f t="shared" si="29"/>
        <v>2023</v>
      </c>
      <c r="J265" s="2" t="s">
        <v>656</v>
      </c>
      <c r="K265" s="2" t="s">
        <v>735</v>
      </c>
      <c r="L265" s="2">
        <v>20</v>
      </c>
      <c r="M265" s="2">
        <v>13</v>
      </c>
    </row>
    <row r="266" spans="1:13" x14ac:dyDescent="0.35">
      <c r="A266" s="3">
        <v>45191</v>
      </c>
      <c r="B266" s="2" t="s">
        <v>285</v>
      </c>
      <c r="C266" s="2">
        <f t="shared" si="27"/>
        <v>6</v>
      </c>
      <c r="D266" s="2" t="str">
        <f t="shared" si="24"/>
        <v>Weekend</v>
      </c>
      <c r="E266" s="2">
        <f t="shared" si="28"/>
        <v>9</v>
      </c>
      <c r="F266" s="2" t="str">
        <f t="shared" si="25"/>
        <v>Third</v>
      </c>
      <c r="G266" s="2" t="str">
        <f t="shared" si="26"/>
        <v>Second</v>
      </c>
      <c r="H266" s="2" t="str">
        <f>LOOKUP(DAYS360(DATE(YEAR(A266),1,0),A266), {0,81,171,263,352}, {"Winter","Spring","Summer","Autumn","Winter"})</f>
        <v>Summer</v>
      </c>
      <c r="I266" s="2">
        <f t="shared" si="29"/>
        <v>2023</v>
      </c>
      <c r="J266" s="2" t="s">
        <v>657</v>
      </c>
      <c r="K266" s="2" t="s">
        <v>735</v>
      </c>
      <c r="L266" s="2">
        <v>2</v>
      </c>
      <c r="M266" s="2">
        <v>2</v>
      </c>
    </row>
    <row r="267" spans="1:13" x14ac:dyDescent="0.35">
      <c r="A267" s="3">
        <v>45192</v>
      </c>
      <c r="B267" s="2" t="s">
        <v>286</v>
      </c>
      <c r="C267" s="2">
        <f t="shared" si="27"/>
        <v>7</v>
      </c>
      <c r="D267" s="2" t="str">
        <f t="shared" si="24"/>
        <v>Weekend</v>
      </c>
      <c r="E267" s="2">
        <f t="shared" si="28"/>
        <v>9</v>
      </c>
      <c r="F267" s="2" t="str">
        <f t="shared" si="25"/>
        <v>Third</v>
      </c>
      <c r="G267" s="2" t="str">
        <f t="shared" si="26"/>
        <v>Second</v>
      </c>
      <c r="H267" s="2" t="str">
        <f>LOOKUP(DAYS360(DATE(YEAR(A267),1,0),A267), {0,81,171,263,352}, {"Winter","Spring","Summer","Autumn","Winter"})</f>
        <v>Autumn</v>
      </c>
      <c r="I267" s="2">
        <f t="shared" si="29"/>
        <v>2023</v>
      </c>
      <c r="J267" s="2" t="s">
        <v>658</v>
      </c>
      <c r="K267" s="2" t="s">
        <v>735</v>
      </c>
      <c r="L267" s="2">
        <v>20</v>
      </c>
      <c r="M267" s="2">
        <v>8</v>
      </c>
    </row>
    <row r="268" spans="1:13" x14ac:dyDescent="0.35">
      <c r="A268" s="3">
        <v>45193</v>
      </c>
      <c r="B268" s="2" t="s">
        <v>287</v>
      </c>
      <c r="C268" s="2">
        <f t="shared" si="27"/>
        <v>1</v>
      </c>
      <c r="D268" s="2" t="str">
        <f t="shared" si="24"/>
        <v>Workday</v>
      </c>
      <c r="E268" s="2">
        <f t="shared" si="28"/>
        <v>9</v>
      </c>
      <c r="F268" s="2" t="str">
        <f t="shared" si="25"/>
        <v>Third</v>
      </c>
      <c r="G268" s="2" t="str">
        <f t="shared" si="26"/>
        <v>Second</v>
      </c>
      <c r="H268" s="2" t="str">
        <f>LOOKUP(DAYS360(DATE(YEAR(A268),1,0),A268), {0,81,171,263,352}, {"Winter","Spring","Summer","Autumn","Winter"})</f>
        <v>Autumn</v>
      </c>
      <c r="I268" s="2">
        <f t="shared" si="29"/>
        <v>2023</v>
      </c>
      <c r="J268" s="2" t="s">
        <v>532</v>
      </c>
      <c r="K268" s="2" t="s">
        <v>735</v>
      </c>
      <c r="L268" s="2">
        <v>18</v>
      </c>
      <c r="M268" s="2">
        <v>2</v>
      </c>
    </row>
    <row r="269" spans="1:13" x14ac:dyDescent="0.35">
      <c r="A269" s="3">
        <v>45194</v>
      </c>
      <c r="B269" s="2" t="s">
        <v>288</v>
      </c>
      <c r="C269" s="2">
        <f t="shared" si="27"/>
        <v>2</v>
      </c>
      <c r="D269" s="2" t="str">
        <f t="shared" si="24"/>
        <v>Workday</v>
      </c>
      <c r="E269" s="2">
        <f t="shared" si="28"/>
        <v>9</v>
      </c>
      <c r="F269" s="2" t="str">
        <f t="shared" si="25"/>
        <v>Third</v>
      </c>
      <c r="G269" s="2" t="str">
        <f t="shared" si="26"/>
        <v>Second</v>
      </c>
      <c r="H269" s="2" t="str">
        <f>LOOKUP(DAYS360(DATE(YEAR(A269),1,0),A269), {0,81,171,263,352}, {"Winter","Spring","Summer","Autumn","Winter"})</f>
        <v>Autumn</v>
      </c>
      <c r="I269" s="2">
        <f t="shared" si="29"/>
        <v>2023</v>
      </c>
      <c r="J269" s="2" t="s">
        <v>659</v>
      </c>
      <c r="K269" s="2" t="s">
        <v>735</v>
      </c>
      <c r="L269" s="2">
        <v>13</v>
      </c>
      <c r="M269" s="2">
        <v>20</v>
      </c>
    </row>
    <row r="270" spans="1:13" x14ac:dyDescent="0.35">
      <c r="A270" s="3">
        <v>45195</v>
      </c>
      <c r="B270" s="2" t="s">
        <v>289</v>
      </c>
      <c r="C270" s="2">
        <f t="shared" si="27"/>
        <v>3</v>
      </c>
      <c r="D270" s="2" t="str">
        <f t="shared" si="24"/>
        <v>Workday</v>
      </c>
      <c r="E270" s="2">
        <f t="shared" si="28"/>
        <v>9</v>
      </c>
      <c r="F270" s="2" t="str">
        <f t="shared" si="25"/>
        <v>Third</v>
      </c>
      <c r="G270" s="2" t="str">
        <f t="shared" si="26"/>
        <v>Second</v>
      </c>
      <c r="H270" s="2" t="str">
        <f>LOOKUP(DAYS360(DATE(YEAR(A270),1,0),A270), {0,81,171,263,352}, {"Winter","Spring","Summer","Autumn","Winter"})</f>
        <v>Autumn</v>
      </c>
      <c r="I270" s="2">
        <f t="shared" si="29"/>
        <v>2023</v>
      </c>
      <c r="J270" s="2" t="s">
        <v>660</v>
      </c>
      <c r="K270" s="2" t="s">
        <v>735</v>
      </c>
      <c r="L270" s="2">
        <v>17</v>
      </c>
      <c r="M270" s="2">
        <v>9</v>
      </c>
    </row>
    <row r="271" spans="1:13" x14ac:dyDescent="0.35">
      <c r="A271" s="3">
        <v>45196</v>
      </c>
      <c r="B271" s="2" t="s">
        <v>290</v>
      </c>
      <c r="C271" s="2">
        <f t="shared" si="27"/>
        <v>4</v>
      </c>
      <c r="D271" s="2" t="str">
        <f t="shared" si="24"/>
        <v>Workday</v>
      </c>
      <c r="E271" s="2">
        <f t="shared" si="28"/>
        <v>9</v>
      </c>
      <c r="F271" s="2" t="str">
        <f t="shared" si="25"/>
        <v>Third</v>
      </c>
      <c r="G271" s="2" t="str">
        <f t="shared" si="26"/>
        <v>Second</v>
      </c>
      <c r="H271" s="2" t="str">
        <f>LOOKUP(DAYS360(DATE(YEAR(A271),1,0),A271), {0,81,171,263,352}, {"Winter","Spring","Summer","Autumn","Winter"})</f>
        <v>Autumn</v>
      </c>
      <c r="I271" s="2">
        <f t="shared" si="29"/>
        <v>2023</v>
      </c>
      <c r="J271" s="2" t="s">
        <v>661</v>
      </c>
      <c r="K271" s="2" t="s">
        <v>735</v>
      </c>
      <c r="L271" s="2">
        <v>11</v>
      </c>
      <c r="M271" s="2">
        <v>3</v>
      </c>
    </row>
    <row r="272" spans="1:13" x14ac:dyDescent="0.35">
      <c r="A272" s="3">
        <v>45197</v>
      </c>
      <c r="B272" s="2" t="s">
        <v>291</v>
      </c>
      <c r="C272" s="2">
        <f t="shared" si="27"/>
        <v>5</v>
      </c>
      <c r="D272" s="2" t="str">
        <f t="shared" si="24"/>
        <v>Workday</v>
      </c>
      <c r="E272" s="2">
        <f t="shared" si="28"/>
        <v>9</v>
      </c>
      <c r="F272" s="2" t="str">
        <f t="shared" si="25"/>
        <v>Third</v>
      </c>
      <c r="G272" s="2" t="str">
        <f t="shared" si="26"/>
        <v>Second</v>
      </c>
      <c r="H272" s="2" t="str">
        <f>LOOKUP(DAYS360(DATE(YEAR(A272),1,0),A272), {0,81,171,263,352}, {"Winter","Spring","Summer","Autumn","Winter"})</f>
        <v>Autumn</v>
      </c>
      <c r="I272" s="2">
        <f t="shared" si="29"/>
        <v>2023</v>
      </c>
      <c r="J272" s="2" t="s">
        <v>662</v>
      </c>
      <c r="K272" s="2" t="s">
        <v>735</v>
      </c>
      <c r="L272" s="2">
        <v>8</v>
      </c>
      <c r="M272" s="2">
        <v>3</v>
      </c>
    </row>
    <row r="273" spans="1:13" x14ac:dyDescent="0.35">
      <c r="A273" s="3">
        <v>45198</v>
      </c>
      <c r="B273" s="2" t="s">
        <v>292</v>
      </c>
      <c r="C273" s="2">
        <f t="shared" si="27"/>
        <v>6</v>
      </c>
      <c r="D273" s="2" t="str">
        <f t="shared" si="24"/>
        <v>Weekend</v>
      </c>
      <c r="E273" s="2">
        <f t="shared" si="28"/>
        <v>9</v>
      </c>
      <c r="F273" s="2" t="str">
        <f t="shared" si="25"/>
        <v>Third</v>
      </c>
      <c r="G273" s="2" t="str">
        <f t="shared" si="26"/>
        <v>Second</v>
      </c>
      <c r="H273" s="2" t="str">
        <f>LOOKUP(DAYS360(DATE(YEAR(A273),1,0),A273), {0,81,171,263,352}, {"Winter","Spring","Summer","Autumn","Winter"})</f>
        <v>Autumn</v>
      </c>
      <c r="I273" s="2">
        <f t="shared" si="29"/>
        <v>2023</v>
      </c>
      <c r="J273" s="2" t="s">
        <v>422</v>
      </c>
      <c r="K273" s="2" t="s">
        <v>735</v>
      </c>
      <c r="L273" s="2">
        <v>7</v>
      </c>
      <c r="M273" s="2">
        <v>2</v>
      </c>
    </row>
    <row r="274" spans="1:13" x14ac:dyDescent="0.35">
      <c r="A274" s="3">
        <v>45199</v>
      </c>
      <c r="B274" s="2" t="s">
        <v>293</v>
      </c>
      <c r="C274" s="2">
        <f t="shared" si="27"/>
        <v>7</v>
      </c>
      <c r="D274" s="2" t="str">
        <f t="shared" si="24"/>
        <v>Weekend</v>
      </c>
      <c r="E274" s="2">
        <f t="shared" si="28"/>
        <v>9</v>
      </c>
      <c r="F274" s="2" t="str">
        <f t="shared" si="25"/>
        <v>Third</v>
      </c>
      <c r="G274" s="2" t="str">
        <f t="shared" si="26"/>
        <v>Second</v>
      </c>
      <c r="H274" s="2" t="str">
        <f>LOOKUP(DAYS360(DATE(YEAR(A274),1,0),A274), {0,81,171,263,352}, {"Winter","Spring","Summer","Autumn","Winter"})</f>
        <v>Autumn</v>
      </c>
      <c r="I274" s="2">
        <f t="shared" si="29"/>
        <v>2023</v>
      </c>
      <c r="J274" s="2" t="s">
        <v>663</v>
      </c>
      <c r="K274" s="2" t="s">
        <v>735</v>
      </c>
      <c r="L274" s="2">
        <v>17</v>
      </c>
      <c r="M274" s="2">
        <v>6</v>
      </c>
    </row>
    <row r="275" spans="1:13" x14ac:dyDescent="0.35">
      <c r="A275" s="3">
        <v>45200</v>
      </c>
      <c r="B275" s="2" t="s">
        <v>294</v>
      </c>
      <c r="C275" s="2">
        <f t="shared" si="27"/>
        <v>1</v>
      </c>
      <c r="D275" s="2" t="str">
        <f t="shared" si="24"/>
        <v>Workday</v>
      </c>
      <c r="E275" s="2">
        <f t="shared" si="28"/>
        <v>10</v>
      </c>
      <c r="F275" s="2" t="str">
        <f t="shared" si="25"/>
        <v>Fourth</v>
      </c>
      <c r="G275" s="2" t="str">
        <f t="shared" si="26"/>
        <v>Second</v>
      </c>
      <c r="H275" s="2" t="str">
        <f>LOOKUP(DAYS360(DATE(YEAR(A275),1,0),A275), {0,81,171,263,352}, {"Winter","Spring","Summer","Autumn","Winter"})</f>
        <v>Autumn</v>
      </c>
      <c r="I275" s="2">
        <f t="shared" si="29"/>
        <v>2023</v>
      </c>
      <c r="J275" s="2" t="s">
        <v>664</v>
      </c>
      <c r="K275" s="2" t="s">
        <v>734</v>
      </c>
      <c r="L275" s="2">
        <v>18</v>
      </c>
      <c r="M275" s="2">
        <v>4</v>
      </c>
    </row>
    <row r="276" spans="1:13" x14ac:dyDescent="0.35">
      <c r="A276" s="3">
        <v>45201</v>
      </c>
      <c r="B276" s="2" t="s">
        <v>295</v>
      </c>
      <c r="C276" s="2">
        <f t="shared" si="27"/>
        <v>2</v>
      </c>
      <c r="D276" s="2" t="str">
        <f t="shared" si="24"/>
        <v>Workday</v>
      </c>
      <c r="E276" s="2">
        <f t="shared" si="28"/>
        <v>10</v>
      </c>
      <c r="F276" s="2" t="str">
        <f t="shared" si="25"/>
        <v>Fourth</v>
      </c>
      <c r="G276" s="2" t="str">
        <f t="shared" si="26"/>
        <v>Second</v>
      </c>
      <c r="H276" s="2" t="str">
        <f>LOOKUP(DAYS360(DATE(YEAR(A276),1,0),A276), {0,81,171,263,352}, {"Winter","Spring","Summer","Autumn","Winter"})</f>
        <v>Autumn</v>
      </c>
      <c r="I276" s="2">
        <f t="shared" si="29"/>
        <v>2023</v>
      </c>
      <c r="J276" s="2" t="s">
        <v>665</v>
      </c>
      <c r="K276" s="2" t="s">
        <v>734</v>
      </c>
      <c r="L276" s="2">
        <v>13</v>
      </c>
      <c r="M276" s="2">
        <v>5</v>
      </c>
    </row>
    <row r="277" spans="1:13" x14ac:dyDescent="0.35">
      <c r="A277" s="3">
        <v>45202</v>
      </c>
      <c r="B277" s="2" t="s">
        <v>296</v>
      </c>
      <c r="C277" s="2">
        <f t="shared" si="27"/>
        <v>3</v>
      </c>
      <c r="D277" s="2" t="str">
        <f t="shared" si="24"/>
        <v>Workday</v>
      </c>
      <c r="E277" s="2">
        <f t="shared" si="28"/>
        <v>10</v>
      </c>
      <c r="F277" s="2" t="str">
        <f t="shared" si="25"/>
        <v>Fourth</v>
      </c>
      <c r="G277" s="2" t="str">
        <f t="shared" si="26"/>
        <v>Second</v>
      </c>
      <c r="H277" s="2" t="str">
        <f>LOOKUP(DAYS360(DATE(YEAR(A277),1,0),A277), {0,81,171,263,352}, {"Winter","Spring","Summer","Autumn","Winter"})</f>
        <v>Autumn</v>
      </c>
      <c r="I277" s="2">
        <f t="shared" si="29"/>
        <v>2023</v>
      </c>
      <c r="J277" s="2" t="s">
        <v>387</v>
      </c>
      <c r="K277" s="2" t="s">
        <v>734</v>
      </c>
      <c r="L277" s="2">
        <v>9</v>
      </c>
      <c r="M277" s="2">
        <v>14</v>
      </c>
    </row>
    <row r="278" spans="1:13" x14ac:dyDescent="0.35">
      <c r="A278" s="3">
        <v>45203</v>
      </c>
      <c r="B278" s="2" t="s">
        <v>297</v>
      </c>
      <c r="C278" s="2">
        <f t="shared" si="27"/>
        <v>4</v>
      </c>
      <c r="D278" s="2" t="str">
        <f t="shared" si="24"/>
        <v>Workday</v>
      </c>
      <c r="E278" s="2">
        <f t="shared" si="28"/>
        <v>10</v>
      </c>
      <c r="F278" s="2" t="str">
        <f t="shared" si="25"/>
        <v>Fourth</v>
      </c>
      <c r="G278" s="2" t="str">
        <f t="shared" si="26"/>
        <v>Second</v>
      </c>
      <c r="H278" s="2" t="str">
        <f>LOOKUP(DAYS360(DATE(YEAR(A278),1,0),A278), {0,81,171,263,352}, {"Winter","Spring","Summer","Autumn","Winter"})</f>
        <v>Autumn</v>
      </c>
      <c r="I278" s="2">
        <f t="shared" si="29"/>
        <v>2023</v>
      </c>
      <c r="J278" s="2" t="s">
        <v>666</v>
      </c>
      <c r="K278" s="2" t="s">
        <v>734</v>
      </c>
      <c r="L278" s="2">
        <v>7</v>
      </c>
      <c r="M278" s="2">
        <v>16</v>
      </c>
    </row>
    <row r="279" spans="1:13" x14ac:dyDescent="0.35">
      <c r="A279" s="3">
        <v>45204</v>
      </c>
      <c r="B279" s="2" t="s">
        <v>298</v>
      </c>
      <c r="C279" s="2">
        <f t="shared" si="27"/>
        <v>5</v>
      </c>
      <c r="D279" s="2" t="str">
        <f t="shared" si="24"/>
        <v>Workday</v>
      </c>
      <c r="E279" s="2">
        <f t="shared" si="28"/>
        <v>10</v>
      </c>
      <c r="F279" s="2" t="str">
        <f t="shared" si="25"/>
        <v>Fourth</v>
      </c>
      <c r="G279" s="2" t="str">
        <f t="shared" si="26"/>
        <v>Second</v>
      </c>
      <c r="H279" s="2" t="str">
        <f>LOOKUP(DAYS360(DATE(YEAR(A279),1,0),A279), {0,81,171,263,352}, {"Winter","Spring","Summer","Autumn","Winter"})</f>
        <v>Autumn</v>
      </c>
      <c r="I279" s="2">
        <f t="shared" si="29"/>
        <v>2023</v>
      </c>
      <c r="J279" s="2" t="s">
        <v>667</v>
      </c>
      <c r="K279" s="2" t="s">
        <v>734</v>
      </c>
      <c r="L279" s="2">
        <v>16</v>
      </c>
      <c r="M279" s="2">
        <v>14</v>
      </c>
    </row>
    <row r="280" spans="1:13" x14ac:dyDescent="0.35">
      <c r="A280" s="3">
        <v>45205</v>
      </c>
      <c r="B280" s="2" t="s">
        <v>299</v>
      </c>
      <c r="C280" s="2">
        <f t="shared" si="27"/>
        <v>6</v>
      </c>
      <c r="D280" s="2" t="str">
        <f t="shared" si="24"/>
        <v>Weekend</v>
      </c>
      <c r="E280" s="2">
        <f t="shared" si="28"/>
        <v>10</v>
      </c>
      <c r="F280" s="2" t="str">
        <f t="shared" si="25"/>
        <v>Fourth</v>
      </c>
      <c r="G280" s="2" t="str">
        <f t="shared" si="26"/>
        <v>Second</v>
      </c>
      <c r="H280" s="2" t="str">
        <f>LOOKUP(DAYS360(DATE(YEAR(A280),1,0),A280), {0,81,171,263,352}, {"Winter","Spring","Summer","Autumn","Winter"})</f>
        <v>Autumn</v>
      </c>
      <c r="I280" s="2">
        <f t="shared" si="29"/>
        <v>2023</v>
      </c>
      <c r="J280" s="2" t="s">
        <v>431</v>
      </c>
      <c r="K280" s="2" t="s">
        <v>734</v>
      </c>
      <c r="L280" s="2">
        <v>11</v>
      </c>
      <c r="M280" s="2">
        <v>19</v>
      </c>
    </row>
    <row r="281" spans="1:13" x14ac:dyDescent="0.35">
      <c r="A281" s="3">
        <v>45206</v>
      </c>
      <c r="B281" s="2" t="s">
        <v>300</v>
      </c>
      <c r="C281" s="2">
        <f t="shared" si="27"/>
        <v>7</v>
      </c>
      <c r="D281" s="2" t="str">
        <f t="shared" si="24"/>
        <v>Weekend</v>
      </c>
      <c r="E281" s="2">
        <f t="shared" si="28"/>
        <v>10</v>
      </c>
      <c r="F281" s="2" t="str">
        <f t="shared" si="25"/>
        <v>Fourth</v>
      </c>
      <c r="G281" s="2" t="str">
        <f t="shared" si="26"/>
        <v>Second</v>
      </c>
      <c r="H281" s="2" t="str">
        <f>LOOKUP(DAYS360(DATE(YEAR(A281),1,0),A281), {0,81,171,263,352}, {"Winter","Spring","Summer","Autumn","Winter"})</f>
        <v>Autumn</v>
      </c>
      <c r="I281" s="2">
        <f t="shared" si="29"/>
        <v>2023</v>
      </c>
      <c r="J281" s="2" t="s">
        <v>668</v>
      </c>
      <c r="K281" s="2" t="s">
        <v>734</v>
      </c>
      <c r="L281" s="2">
        <v>9</v>
      </c>
      <c r="M281" s="2">
        <v>18</v>
      </c>
    </row>
    <row r="282" spans="1:13" x14ac:dyDescent="0.35">
      <c r="A282" s="3">
        <v>45207</v>
      </c>
      <c r="B282" s="2" t="s">
        <v>301</v>
      </c>
      <c r="C282" s="2">
        <f t="shared" si="27"/>
        <v>1</v>
      </c>
      <c r="D282" s="2" t="str">
        <f t="shared" si="24"/>
        <v>Workday</v>
      </c>
      <c r="E282" s="2">
        <f t="shared" si="28"/>
        <v>10</v>
      </c>
      <c r="F282" s="2" t="str">
        <f t="shared" si="25"/>
        <v>Fourth</v>
      </c>
      <c r="G282" s="2" t="str">
        <f t="shared" si="26"/>
        <v>Second</v>
      </c>
      <c r="H282" s="2" t="str">
        <f>LOOKUP(DAYS360(DATE(YEAR(A282),1,0),A282), {0,81,171,263,352}, {"Winter","Spring","Summer","Autumn","Winter"})</f>
        <v>Autumn</v>
      </c>
      <c r="I282" s="2">
        <f t="shared" si="29"/>
        <v>2023</v>
      </c>
      <c r="J282" s="2" t="s">
        <v>669</v>
      </c>
      <c r="K282" s="2" t="s">
        <v>734</v>
      </c>
      <c r="L282" s="2">
        <v>6</v>
      </c>
      <c r="M282" s="2">
        <v>15</v>
      </c>
    </row>
    <row r="283" spans="1:13" x14ac:dyDescent="0.35">
      <c r="A283" s="3">
        <v>45208</v>
      </c>
      <c r="B283" s="2" t="s">
        <v>302</v>
      </c>
      <c r="C283" s="2">
        <f t="shared" si="27"/>
        <v>2</v>
      </c>
      <c r="D283" s="2" t="str">
        <f t="shared" si="24"/>
        <v>Workday</v>
      </c>
      <c r="E283" s="2">
        <f t="shared" si="28"/>
        <v>10</v>
      </c>
      <c r="F283" s="2" t="str">
        <f t="shared" si="25"/>
        <v>Fourth</v>
      </c>
      <c r="G283" s="2" t="str">
        <f t="shared" si="26"/>
        <v>Second</v>
      </c>
      <c r="H283" s="2" t="str">
        <f>LOOKUP(DAYS360(DATE(YEAR(A283),1,0),A283), {0,81,171,263,352}, {"Winter","Spring","Summer","Autumn","Winter"})</f>
        <v>Autumn</v>
      </c>
      <c r="I283" s="2">
        <f t="shared" si="29"/>
        <v>2023</v>
      </c>
      <c r="J283" s="2" t="s">
        <v>670</v>
      </c>
      <c r="K283" s="2" t="s">
        <v>734</v>
      </c>
      <c r="L283" s="2">
        <v>6</v>
      </c>
      <c r="M283" s="2">
        <v>16</v>
      </c>
    </row>
    <row r="284" spans="1:13" x14ac:dyDescent="0.35">
      <c r="A284" s="3">
        <v>45209</v>
      </c>
      <c r="B284" s="2" t="s">
        <v>303</v>
      </c>
      <c r="C284" s="2">
        <f t="shared" si="27"/>
        <v>3</v>
      </c>
      <c r="D284" s="2" t="str">
        <f t="shared" si="24"/>
        <v>Workday</v>
      </c>
      <c r="E284" s="2">
        <f t="shared" si="28"/>
        <v>10</v>
      </c>
      <c r="F284" s="2" t="str">
        <f t="shared" si="25"/>
        <v>Fourth</v>
      </c>
      <c r="G284" s="2" t="str">
        <f t="shared" si="26"/>
        <v>Second</v>
      </c>
      <c r="H284" s="2" t="str">
        <f>LOOKUP(DAYS360(DATE(YEAR(A284),1,0),A284), {0,81,171,263,352}, {"Winter","Spring","Summer","Autumn","Winter"})</f>
        <v>Autumn</v>
      </c>
      <c r="I284" s="2">
        <f t="shared" si="29"/>
        <v>2023</v>
      </c>
      <c r="J284" s="2" t="s">
        <v>671</v>
      </c>
      <c r="K284" s="2" t="s">
        <v>734</v>
      </c>
      <c r="L284" s="2">
        <v>11</v>
      </c>
      <c r="M284" s="2">
        <v>1</v>
      </c>
    </row>
    <row r="285" spans="1:13" x14ac:dyDescent="0.35">
      <c r="A285" s="3">
        <v>45210</v>
      </c>
      <c r="B285" s="2" t="s">
        <v>304</v>
      </c>
      <c r="C285" s="2">
        <f t="shared" si="27"/>
        <v>4</v>
      </c>
      <c r="D285" s="2" t="str">
        <f t="shared" si="24"/>
        <v>Workday</v>
      </c>
      <c r="E285" s="2">
        <f t="shared" si="28"/>
        <v>10</v>
      </c>
      <c r="F285" s="2" t="str">
        <f t="shared" si="25"/>
        <v>Fourth</v>
      </c>
      <c r="G285" s="2" t="str">
        <f t="shared" si="26"/>
        <v>Second</v>
      </c>
      <c r="H285" s="2" t="str">
        <f>LOOKUP(DAYS360(DATE(YEAR(A285),1,0),A285), {0,81,171,263,352}, {"Winter","Spring","Summer","Autumn","Winter"})</f>
        <v>Autumn</v>
      </c>
      <c r="I285" s="2">
        <f t="shared" si="29"/>
        <v>2023</v>
      </c>
      <c r="J285" s="2" t="s">
        <v>416</v>
      </c>
      <c r="K285" s="2" t="s">
        <v>734</v>
      </c>
      <c r="L285" s="2">
        <v>1</v>
      </c>
      <c r="M285" s="2">
        <v>9</v>
      </c>
    </row>
    <row r="286" spans="1:13" x14ac:dyDescent="0.35">
      <c r="A286" s="3">
        <v>45211</v>
      </c>
      <c r="B286" s="2" t="s">
        <v>305</v>
      </c>
      <c r="C286" s="2">
        <f t="shared" si="27"/>
        <v>5</v>
      </c>
      <c r="D286" s="2" t="str">
        <f t="shared" si="24"/>
        <v>Workday</v>
      </c>
      <c r="E286" s="2">
        <f t="shared" si="28"/>
        <v>10</v>
      </c>
      <c r="F286" s="2" t="str">
        <f t="shared" si="25"/>
        <v>Fourth</v>
      </c>
      <c r="G286" s="2" t="str">
        <f t="shared" si="26"/>
        <v>Second</v>
      </c>
      <c r="H286" s="2" t="str">
        <f>LOOKUP(DAYS360(DATE(YEAR(A286),1,0),A286), {0,81,171,263,352}, {"Winter","Spring","Summer","Autumn","Winter"})</f>
        <v>Autumn</v>
      </c>
      <c r="I286" s="2">
        <f t="shared" si="29"/>
        <v>2023</v>
      </c>
      <c r="J286" s="2" t="s">
        <v>421</v>
      </c>
      <c r="K286" s="2" t="s">
        <v>734</v>
      </c>
      <c r="L286" s="2">
        <v>2</v>
      </c>
      <c r="M286" s="2">
        <v>8</v>
      </c>
    </row>
    <row r="287" spans="1:13" x14ac:dyDescent="0.35">
      <c r="A287" s="3">
        <v>45212</v>
      </c>
      <c r="B287" s="2" t="s">
        <v>306</v>
      </c>
      <c r="C287" s="2">
        <f t="shared" si="27"/>
        <v>6</v>
      </c>
      <c r="D287" s="2" t="str">
        <f t="shared" si="24"/>
        <v>Weekend</v>
      </c>
      <c r="E287" s="2">
        <f t="shared" si="28"/>
        <v>10</v>
      </c>
      <c r="F287" s="2" t="str">
        <f t="shared" si="25"/>
        <v>Fourth</v>
      </c>
      <c r="G287" s="2" t="str">
        <f t="shared" si="26"/>
        <v>Second</v>
      </c>
      <c r="H287" s="2" t="str">
        <f>LOOKUP(DAYS360(DATE(YEAR(A287),1,0),A287), {0,81,171,263,352}, {"Winter","Spring","Summer","Autumn","Winter"})</f>
        <v>Autumn</v>
      </c>
      <c r="I287" s="2">
        <f t="shared" si="29"/>
        <v>2023</v>
      </c>
      <c r="J287" s="2" t="s">
        <v>672</v>
      </c>
      <c r="K287" s="2" t="s">
        <v>734</v>
      </c>
      <c r="L287" s="2">
        <v>19</v>
      </c>
      <c r="M287" s="2">
        <v>2</v>
      </c>
    </row>
    <row r="288" spans="1:13" x14ac:dyDescent="0.35">
      <c r="A288" s="3">
        <v>45213</v>
      </c>
      <c r="B288" s="2" t="s">
        <v>307</v>
      </c>
      <c r="C288" s="2">
        <f t="shared" si="27"/>
        <v>7</v>
      </c>
      <c r="D288" s="2" t="str">
        <f t="shared" si="24"/>
        <v>Weekend</v>
      </c>
      <c r="E288" s="2">
        <f t="shared" si="28"/>
        <v>10</v>
      </c>
      <c r="F288" s="2" t="str">
        <f t="shared" si="25"/>
        <v>Fourth</v>
      </c>
      <c r="G288" s="2" t="str">
        <f t="shared" si="26"/>
        <v>Second</v>
      </c>
      <c r="H288" s="2" t="str">
        <f>LOOKUP(DAYS360(DATE(YEAR(A288),1,0),A288), {0,81,171,263,352}, {"Winter","Spring","Summer","Autumn","Winter"})</f>
        <v>Autumn</v>
      </c>
      <c r="I288" s="2">
        <f t="shared" si="29"/>
        <v>2023</v>
      </c>
      <c r="J288" s="2" t="s">
        <v>395</v>
      </c>
      <c r="K288" s="2" t="s">
        <v>734</v>
      </c>
      <c r="L288" s="2">
        <v>20</v>
      </c>
      <c r="M288" s="2">
        <v>3</v>
      </c>
    </row>
    <row r="289" spans="1:13" x14ac:dyDescent="0.35">
      <c r="A289" s="3">
        <v>45214</v>
      </c>
      <c r="B289" s="2" t="s">
        <v>308</v>
      </c>
      <c r="C289" s="2">
        <f t="shared" si="27"/>
        <v>1</v>
      </c>
      <c r="D289" s="2" t="str">
        <f t="shared" ref="D289:D352" si="30">IF(C289&lt;6,"Workday","Weekend")</f>
        <v>Workday</v>
      </c>
      <c r="E289" s="2">
        <f t="shared" si="28"/>
        <v>10</v>
      </c>
      <c r="F289" s="2" t="str">
        <f t="shared" ref="F289:F352" si="31">IF(E289&lt;4,"First",IF(AND(E289&gt;3,E289&lt;7),"Second",IF(AND(E289&gt;6,E289&lt;10),"Third",IF(E289&gt;9,"Fourth",0))))</f>
        <v>Fourth</v>
      </c>
      <c r="G289" s="2" t="str">
        <f t="shared" ref="G289:G352" si="32">IF(E289&lt;7,"First","Second")</f>
        <v>Second</v>
      </c>
      <c r="H289" s="2" t="str">
        <f>LOOKUP(DAYS360(DATE(YEAR(A289),1,0),A289), {0,81,171,263,352}, {"Winter","Spring","Summer","Autumn","Winter"})</f>
        <v>Autumn</v>
      </c>
      <c r="I289" s="2">
        <f t="shared" si="29"/>
        <v>2023</v>
      </c>
      <c r="J289" s="2" t="s">
        <v>673</v>
      </c>
      <c r="K289" s="2" t="s">
        <v>734</v>
      </c>
      <c r="L289" s="2">
        <v>11</v>
      </c>
      <c r="M289" s="2">
        <v>10</v>
      </c>
    </row>
    <row r="290" spans="1:13" x14ac:dyDescent="0.35">
      <c r="A290" s="3">
        <v>45215</v>
      </c>
      <c r="B290" s="2" t="s">
        <v>309</v>
      </c>
      <c r="C290" s="2">
        <f t="shared" si="27"/>
        <v>2</v>
      </c>
      <c r="D290" s="2" t="str">
        <f t="shared" si="30"/>
        <v>Workday</v>
      </c>
      <c r="E290" s="2">
        <f t="shared" si="28"/>
        <v>10</v>
      </c>
      <c r="F290" s="2" t="str">
        <f t="shared" si="31"/>
        <v>Fourth</v>
      </c>
      <c r="G290" s="2" t="str">
        <f t="shared" si="32"/>
        <v>Second</v>
      </c>
      <c r="H290" s="2" t="str">
        <f>LOOKUP(DAYS360(DATE(YEAR(A290),1,0),A290), {0,81,171,263,352}, {"Winter","Spring","Summer","Autumn","Winter"})</f>
        <v>Autumn</v>
      </c>
      <c r="I290" s="2">
        <f t="shared" si="29"/>
        <v>2023</v>
      </c>
      <c r="J290" s="2" t="s">
        <v>674</v>
      </c>
      <c r="K290" s="2" t="s">
        <v>734</v>
      </c>
      <c r="L290" s="2">
        <v>12</v>
      </c>
      <c r="M290" s="2">
        <v>7</v>
      </c>
    </row>
    <row r="291" spans="1:13" x14ac:dyDescent="0.35">
      <c r="A291" s="3">
        <v>45216</v>
      </c>
      <c r="B291" s="2" t="s">
        <v>310</v>
      </c>
      <c r="C291" s="2">
        <f t="shared" si="27"/>
        <v>3</v>
      </c>
      <c r="D291" s="2" t="str">
        <f t="shared" si="30"/>
        <v>Workday</v>
      </c>
      <c r="E291" s="2">
        <f t="shared" si="28"/>
        <v>10</v>
      </c>
      <c r="F291" s="2" t="str">
        <f t="shared" si="31"/>
        <v>Fourth</v>
      </c>
      <c r="G291" s="2" t="str">
        <f t="shared" si="32"/>
        <v>Second</v>
      </c>
      <c r="H291" s="2" t="str">
        <f>LOOKUP(DAYS360(DATE(YEAR(A291),1,0),A291), {0,81,171,263,352}, {"Winter","Spring","Summer","Autumn","Winter"})</f>
        <v>Autumn</v>
      </c>
      <c r="I291" s="2">
        <f t="shared" si="29"/>
        <v>2023</v>
      </c>
      <c r="J291" s="2" t="s">
        <v>675</v>
      </c>
      <c r="K291" s="2" t="s">
        <v>734</v>
      </c>
      <c r="L291" s="2">
        <v>6</v>
      </c>
      <c r="M291" s="2">
        <v>14</v>
      </c>
    </row>
    <row r="292" spans="1:13" x14ac:dyDescent="0.35">
      <c r="A292" s="3">
        <v>45217</v>
      </c>
      <c r="B292" s="2" t="s">
        <v>311</v>
      </c>
      <c r="C292" s="2">
        <f t="shared" si="27"/>
        <v>4</v>
      </c>
      <c r="D292" s="2" t="str">
        <f t="shared" si="30"/>
        <v>Workday</v>
      </c>
      <c r="E292" s="2">
        <f t="shared" si="28"/>
        <v>10</v>
      </c>
      <c r="F292" s="2" t="str">
        <f t="shared" si="31"/>
        <v>Fourth</v>
      </c>
      <c r="G292" s="2" t="str">
        <f t="shared" si="32"/>
        <v>Second</v>
      </c>
      <c r="H292" s="2" t="str">
        <f>LOOKUP(DAYS360(DATE(YEAR(A292),1,0),A292), {0,81,171,263,352}, {"Winter","Spring","Summer","Autumn","Winter"})</f>
        <v>Autumn</v>
      </c>
      <c r="I292" s="2">
        <f t="shared" si="29"/>
        <v>2023</v>
      </c>
      <c r="J292" s="2" t="s">
        <v>676</v>
      </c>
      <c r="K292" s="2" t="s">
        <v>734</v>
      </c>
      <c r="L292" s="2">
        <v>8</v>
      </c>
      <c r="M292" s="2">
        <v>11</v>
      </c>
    </row>
    <row r="293" spans="1:13" x14ac:dyDescent="0.35">
      <c r="A293" s="3">
        <v>45218</v>
      </c>
      <c r="B293" s="2" t="s">
        <v>312</v>
      </c>
      <c r="C293" s="2">
        <f t="shared" si="27"/>
        <v>5</v>
      </c>
      <c r="D293" s="2" t="str">
        <f t="shared" si="30"/>
        <v>Workday</v>
      </c>
      <c r="E293" s="2">
        <f t="shared" si="28"/>
        <v>10</v>
      </c>
      <c r="F293" s="2" t="str">
        <f t="shared" si="31"/>
        <v>Fourth</v>
      </c>
      <c r="G293" s="2" t="str">
        <f t="shared" si="32"/>
        <v>Second</v>
      </c>
      <c r="H293" s="2" t="str">
        <f>LOOKUP(DAYS360(DATE(YEAR(A293),1,0),A293), {0,81,171,263,352}, {"Winter","Spring","Summer","Autumn","Winter"})</f>
        <v>Autumn</v>
      </c>
      <c r="I293" s="2">
        <f t="shared" si="29"/>
        <v>2023</v>
      </c>
      <c r="J293" s="2" t="s">
        <v>16</v>
      </c>
      <c r="K293" s="2" t="s">
        <v>734</v>
      </c>
      <c r="L293" s="2">
        <v>15</v>
      </c>
      <c r="M293" s="2">
        <v>15</v>
      </c>
    </row>
    <row r="294" spans="1:13" x14ac:dyDescent="0.35">
      <c r="A294" s="3">
        <v>45219</v>
      </c>
      <c r="B294" s="2" t="s">
        <v>313</v>
      </c>
      <c r="C294" s="2">
        <f t="shared" si="27"/>
        <v>6</v>
      </c>
      <c r="D294" s="2" t="str">
        <f t="shared" si="30"/>
        <v>Weekend</v>
      </c>
      <c r="E294" s="2">
        <f t="shared" si="28"/>
        <v>10</v>
      </c>
      <c r="F294" s="2" t="str">
        <f t="shared" si="31"/>
        <v>Fourth</v>
      </c>
      <c r="G294" s="2" t="str">
        <f t="shared" si="32"/>
        <v>Second</v>
      </c>
      <c r="H294" s="2" t="str">
        <f>LOOKUP(DAYS360(DATE(YEAR(A294),1,0),A294), {0,81,171,263,352}, {"Winter","Spring","Summer","Autumn","Winter"})</f>
        <v>Autumn</v>
      </c>
      <c r="I294" s="2">
        <f t="shared" si="29"/>
        <v>2023</v>
      </c>
      <c r="J294" s="2" t="s">
        <v>677</v>
      </c>
      <c r="K294" s="2" t="s">
        <v>734</v>
      </c>
      <c r="L294" s="2">
        <v>2</v>
      </c>
      <c r="M294" s="2">
        <v>1</v>
      </c>
    </row>
    <row r="295" spans="1:13" x14ac:dyDescent="0.35">
      <c r="A295" s="3">
        <v>45220</v>
      </c>
      <c r="B295" s="2" t="s">
        <v>314</v>
      </c>
      <c r="C295" s="2">
        <f t="shared" si="27"/>
        <v>7</v>
      </c>
      <c r="D295" s="2" t="str">
        <f t="shared" si="30"/>
        <v>Weekend</v>
      </c>
      <c r="E295" s="2">
        <f t="shared" si="28"/>
        <v>10</v>
      </c>
      <c r="F295" s="2" t="str">
        <f t="shared" si="31"/>
        <v>Fourth</v>
      </c>
      <c r="G295" s="2" t="str">
        <f t="shared" si="32"/>
        <v>Second</v>
      </c>
      <c r="H295" s="2" t="str">
        <f>LOOKUP(DAYS360(DATE(YEAR(A295),1,0),A295), {0,81,171,263,352}, {"Winter","Spring","Summer","Autumn","Winter"})</f>
        <v>Autumn</v>
      </c>
      <c r="I295" s="2">
        <f t="shared" si="29"/>
        <v>2023</v>
      </c>
      <c r="J295" s="2" t="s">
        <v>678</v>
      </c>
      <c r="K295" s="2" t="s">
        <v>734</v>
      </c>
      <c r="L295" s="2">
        <v>16</v>
      </c>
      <c r="M295" s="2">
        <v>18</v>
      </c>
    </row>
    <row r="296" spans="1:13" x14ac:dyDescent="0.35">
      <c r="A296" s="3">
        <v>45221</v>
      </c>
      <c r="B296" s="2" t="s">
        <v>315</v>
      </c>
      <c r="C296" s="2">
        <f t="shared" si="27"/>
        <v>1</v>
      </c>
      <c r="D296" s="2" t="str">
        <f t="shared" si="30"/>
        <v>Workday</v>
      </c>
      <c r="E296" s="2">
        <f t="shared" si="28"/>
        <v>10</v>
      </c>
      <c r="F296" s="2" t="str">
        <f t="shared" si="31"/>
        <v>Fourth</v>
      </c>
      <c r="G296" s="2" t="str">
        <f t="shared" si="32"/>
        <v>Second</v>
      </c>
      <c r="H296" s="2" t="str">
        <f>LOOKUP(DAYS360(DATE(YEAR(A296),1,0),A296), {0,81,171,263,352}, {"Winter","Spring","Summer","Autumn","Winter"})</f>
        <v>Autumn</v>
      </c>
      <c r="I296" s="2">
        <f t="shared" si="29"/>
        <v>2023</v>
      </c>
      <c r="J296" s="2" t="s">
        <v>679</v>
      </c>
      <c r="K296" s="2" t="s">
        <v>734</v>
      </c>
      <c r="L296" s="2">
        <v>13</v>
      </c>
      <c r="M296" s="2">
        <v>16</v>
      </c>
    </row>
    <row r="297" spans="1:13" x14ac:dyDescent="0.35">
      <c r="A297" s="3">
        <v>45222</v>
      </c>
      <c r="B297" s="2" t="s">
        <v>316</v>
      </c>
      <c r="C297" s="2">
        <f t="shared" si="27"/>
        <v>2</v>
      </c>
      <c r="D297" s="2" t="str">
        <f t="shared" si="30"/>
        <v>Workday</v>
      </c>
      <c r="E297" s="2">
        <f t="shared" si="28"/>
        <v>10</v>
      </c>
      <c r="F297" s="2" t="str">
        <f t="shared" si="31"/>
        <v>Fourth</v>
      </c>
      <c r="G297" s="2" t="str">
        <f t="shared" si="32"/>
        <v>Second</v>
      </c>
      <c r="H297" s="2" t="str">
        <f>LOOKUP(DAYS360(DATE(YEAR(A297),1,0),A297), {0,81,171,263,352}, {"Winter","Spring","Summer","Autumn","Winter"})</f>
        <v>Autumn</v>
      </c>
      <c r="I297" s="2">
        <f t="shared" si="29"/>
        <v>2023</v>
      </c>
      <c r="J297" s="2" t="s">
        <v>680</v>
      </c>
      <c r="K297" s="2" t="s">
        <v>734</v>
      </c>
      <c r="L297" s="2">
        <v>9</v>
      </c>
      <c r="M297" s="2">
        <v>18</v>
      </c>
    </row>
    <row r="298" spans="1:13" x14ac:dyDescent="0.35">
      <c r="A298" s="3">
        <v>45223</v>
      </c>
      <c r="B298" s="2" t="s">
        <v>317</v>
      </c>
      <c r="C298" s="2">
        <f t="shared" si="27"/>
        <v>3</v>
      </c>
      <c r="D298" s="2" t="str">
        <f t="shared" si="30"/>
        <v>Workday</v>
      </c>
      <c r="E298" s="2">
        <f t="shared" si="28"/>
        <v>10</v>
      </c>
      <c r="F298" s="2" t="str">
        <f t="shared" si="31"/>
        <v>Fourth</v>
      </c>
      <c r="G298" s="2" t="str">
        <f t="shared" si="32"/>
        <v>Second</v>
      </c>
      <c r="H298" s="2" t="str">
        <f>LOOKUP(DAYS360(DATE(YEAR(A298),1,0),A298), {0,81,171,263,352}, {"Winter","Spring","Summer","Autumn","Winter"})</f>
        <v>Autumn</v>
      </c>
      <c r="I298" s="2">
        <f t="shared" si="29"/>
        <v>2023</v>
      </c>
      <c r="J298" s="2" t="s">
        <v>681</v>
      </c>
      <c r="K298" s="2" t="s">
        <v>734</v>
      </c>
      <c r="L298" s="2">
        <v>16</v>
      </c>
      <c r="M298" s="2">
        <v>4</v>
      </c>
    </row>
    <row r="299" spans="1:13" x14ac:dyDescent="0.35">
      <c r="A299" s="3">
        <v>45224</v>
      </c>
      <c r="B299" s="2" t="s">
        <v>318</v>
      </c>
      <c r="C299" s="2">
        <f t="shared" si="27"/>
        <v>4</v>
      </c>
      <c r="D299" s="2" t="str">
        <f t="shared" si="30"/>
        <v>Workday</v>
      </c>
      <c r="E299" s="2">
        <f t="shared" si="28"/>
        <v>10</v>
      </c>
      <c r="F299" s="2" t="str">
        <f t="shared" si="31"/>
        <v>Fourth</v>
      </c>
      <c r="G299" s="2" t="str">
        <f t="shared" si="32"/>
        <v>Second</v>
      </c>
      <c r="H299" s="2" t="str">
        <f>LOOKUP(DAYS360(DATE(YEAR(A299),1,0),A299), {0,81,171,263,352}, {"Winter","Spring","Summer","Autumn","Winter"})</f>
        <v>Autumn</v>
      </c>
      <c r="I299" s="2">
        <f t="shared" si="29"/>
        <v>2023</v>
      </c>
      <c r="J299" s="2" t="s">
        <v>682</v>
      </c>
      <c r="K299" s="2" t="s">
        <v>734</v>
      </c>
      <c r="L299" s="2">
        <v>16</v>
      </c>
      <c r="M299" s="2">
        <v>15</v>
      </c>
    </row>
    <row r="300" spans="1:13" x14ac:dyDescent="0.35">
      <c r="A300" s="3">
        <v>45225</v>
      </c>
      <c r="B300" s="2" t="s">
        <v>319</v>
      </c>
      <c r="C300" s="2">
        <f t="shared" si="27"/>
        <v>5</v>
      </c>
      <c r="D300" s="2" t="str">
        <f t="shared" si="30"/>
        <v>Workday</v>
      </c>
      <c r="E300" s="2">
        <f t="shared" si="28"/>
        <v>10</v>
      </c>
      <c r="F300" s="2" t="str">
        <f t="shared" si="31"/>
        <v>Fourth</v>
      </c>
      <c r="G300" s="2" t="str">
        <f t="shared" si="32"/>
        <v>Second</v>
      </c>
      <c r="H300" s="2" t="str">
        <f>LOOKUP(DAYS360(DATE(YEAR(A300),1,0),A300), {0,81,171,263,352}, {"Winter","Spring","Summer","Autumn","Winter"})</f>
        <v>Autumn</v>
      </c>
      <c r="I300" s="2">
        <f t="shared" si="29"/>
        <v>2023</v>
      </c>
      <c r="J300" s="2" t="s">
        <v>683</v>
      </c>
      <c r="K300" s="2" t="s">
        <v>734</v>
      </c>
      <c r="L300" s="2">
        <v>7</v>
      </c>
      <c r="M300" s="2">
        <v>13</v>
      </c>
    </row>
    <row r="301" spans="1:13" x14ac:dyDescent="0.35">
      <c r="A301" s="3">
        <v>45226</v>
      </c>
      <c r="B301" s="2" t="s">
        <v>320</v>
      </c>
      <c r="C301" s="2">
        <f t="shared" si="27"/>
        <v>6</v>
      </c>
      <c r="D301" s="2" t="str">
        <f t="shared" si="30"/>
        <v>Weekend</v>
      </c>
      <c r="E301" s="2">
        <f t="shared" si="28"/>
        <v>10</v>
      </c>
      <c r="F301" s="2" t="str">
        <f t="shared" si="31"/>
        <v>Fourth</v>
      </c>
      <c r="G301" s="2" t="str">
        <f t="shared" si="32"/>
        <v>Second</v>
      </c>
      <c r="H301" s="2" t="str">
        <f>LOOKUP(DAYS360(DATE(YEAR(A301),1,0),A301), {0,81,171,263,352}, {"Winter","Spring","Summer","Autumn","Winter"})</f>
        <v>Autumn</v>
      </c>
      <c r="I301" s="2">
        <f t="shared" si="29"/>
        <v>2023</v>
      </c>
      <c r="J301" s="2" t="s">
        <v>684</v>
      </c>
      <c r="K301" s="2" t="s">
        <v>734</v>
      </c>
      <c r="L301" s="2">
        <v>9</v>
      </c>
      <c r="M301" s="2">
        <v>18</v>
      </c>
    </row>
    <row r="302" spans="1:13" x14ac:dyDescent="0.35">
      <c r="A302" s="3">
        <v>45227</v>
      </c>
      <c r="B302" s="2" t="s">
        <v>321</v>
      </c>
      <c r="C302" s="2">
        <f t="shared" si="27"/>
        <v>7</v>
      </c>
      <c r="D302" s="2" t="str">
        <f t="shared" si="30"/>
        <v>Weekend</v>
      </c>
      <c r="E302" s="2">
        <f t="shared" si="28"/>
        <v>10</v>
      </c>
      <c r="F302" s="2" t="str">
        <f t="shared" si="31"/>
        <v>Fourth</v>
      </c>
      <c r="G302" s="2" t="str">
        <f t="shared" si="32"/>
        <v>Second</v>
      </c>
      <c r="H302" s="2" t="str">
        <f>LOOKUP(DAYS360(DATE(YEAR(A302),1,0),A302), {0,81,171,263,352}, {"Winter","Spring","Summer","Autumn","Winter"})</f>
        <v>Autumn</v>
      </c>
      <c r="I302" s="2">
        <f t="shared" si="29"/>
        <v>2023</v>
      </c>
      <c r="J302" s="2" t="s">
        <v>685</v>
      </c>
      <c r="K302" s="2" t="s">
        <v>734</v>
      </c>
      <c r="L302" s="2">
        <v>10</v>
      </c>
      <c r="M302" s="2">
        <v>1</v>
      </c>
    </row>
    <row r="303" spans="1:13" x14ac:dyDescent="0.35">
      <c r="A303" s="3">
        <v>45228</v>
      </c>
      <c r="B303" s="2" t="s">
        <v>110</v>
      </c>
      <c r="C303" s="2">
        <f t="shared" si="27"/>
        <v>1</v>
      </c>
      <c r="D303" s="2" t="str">
        <f t="shared" si="30"/>
        <v>Workday</v>
      </c>
      <c r="E303" s="2">
        <f t="shared" si="28"/>
        <v>10</v>
      </c>
      <c r="F303" s="2" t="str">
        <f t="shared" si="31"/>
        <v>Fourth</v>
      </c>
      <c r="G303" s="2" t="str">
        <f t="shared" si="32"/>
        <v>Second</v>
      </c>
      <c r="H303" s="2" t="str">
        <f>LOOKUP(DAYS360(DATE(YEAR(A303),1,0),A303), {0,81,171,263,352}, {"Winter","Spring","Summer","Autumn","Winter"})</f>
        <v>Autumn</v>
      </c>
      <c r="I303" s="2">
        <f t="shared" si="29"/>
        <v>2023</v>
      </c>
      <c r="J303" s="2" t="s">
        <v>686</v>
      </c>
      <c r="K303" s="2" t="s">
        <v>734</v>
      </c>
      <c r="L303" s="2">
        <v>11</v>
      </c>
      <c r="M303" s="2">
        <v>18</v>
      </c>
    </row>
    <row r="304" spans="1:13" x14ac:dyDescent="0.35">
      <c r="A304" s="3">
        <v>45229</v>
      </c>
      <c r="B304" s="2" t="s">
        <v>322</v>
      </c>
      <c r="C304" s="2">
        <f t="shared" si="27"/>
        <v>2</v>
      </c>
      <c r="D304" s="2" t="str">
        <f t="shared" si="30"/>
        <v>Workday</v>
      </c>
      <c r="E304" s="2">
        <f t="shared" si="28"/>
        <v>10</v>
      </c>
      <c r="F304" s="2" t="str">
        <f t="shared" si="31"/>
        <v>Fourth</v>
      </c>
      <c r="G304" s="2" t="str">
        <f t="shared" si="32"/>
        <v>Second</v>
      </c>
      <c r="H304" s="2" t="str">
        <f>LOOKUP(DAYS360(DATE(YEAR(A304),1,0),A304), {0,81,171,263,352}, {"Winter","Spring","Summer","Autumn","Winter"})</f>
        <v>Autumn</v>
      </c>
      <c r="I304" s="2">
        <f t="shared" si="29"/>
        <v>2023</v>
      </c>
      <c r="J304" s="2" t="s">
        <v>687</v>
      </c>
      <c r="K304" s="2" t="s">
        <v>734</v>
      </c>
      <c r="L304" s="2">
        <v>19</v>
      </c>
      <c r="M304" s="2">
        <v>1</v>
      </c>
    </row>
    <row r="305" spans="1:13" x14ac:dyDescent="0.35">
      <c r="A305" s="3">
        <v>45230</v>
      </c>
      <c r="B305" s="2" t="s">
        <v>323</v>
      </c>
      <c r="C305" s="2">
        <f t="shared" si="27"/>
        <v>3</v>
      </c>
      <c r="D305" s="2" t="str">
        <f t="shared" si="30"/>
        <v>Workday</v>
      </c>
      <c r="E305" s="2">
        <f t="shared" si="28"/>
        <v>10</v>
      </c>
      <c r="F305" s="2" t="str">
        <f t="shared" si="31"/>
        <v>Fourth</v>
      </c>
      <c r="G305" s="2" t="str">
        <f t="shared" si="32"/>
        <v>Second</v>
      </c>
      <c r="H305" s="2" t="str">
        <f>LOOKUP(DAYS360(DATE(YEAR(A305),1,0),A305), {0,81,171,263,352}, {"Winter","Spring","Summer","Autumn","Winter"})</f>
        <v>Autumn</v>
      </c>
      <c r="I305" s="2">
        <f t="shared" si="29"/>
        <v>2023</v>
      </c>
      <c r="J305" s="2" t="s">
        <v>688</v>
      </c>
      <c r="K305" s="2" t="s">
        <v>734</v>
      </c>
      <c r="L305" s="2">
        <v>4</v>
      </c>
      <c r="M305" s="2">
        <v>15</v>
      </c>
    </row>
    <row r="306" spans="1:13" x14ac:dyDescent="0.35">
      <c r="A306" s="3">
        <v>45231</v>
      </c>
      <c r="B306" s="2" t="s">
        <v>324</v>
      </c>
      <c r="C306" s="2">
        <f t="shared" si="27"/>
        <v>4</v>
      </c>
      <c r="D306" s="2" t="str">
        <f t="shared" si="30"/>
        <v>Workday</v>
      </c>
      <c r="E306" s="2">
        <f t="shared" si="28"/>
        <v>11</v>
      </c>
      <c r="F306" s="2" t="str">
        <f t="shared" si="31"/>
        <v>Fourth</v>
      </c>
      <c r="G306" s="2" t="str">
        <f t="shared" si="32"/>
        <v>Second</v>
      </c>
      <c r="H306" s="2" t="str">
        <f>LOOKUP(DAYS360(DATE(YEAR(A306),1,0),A306), {0,81,171,263,352}, {"Winter","Spring","Summer","Autumn","Winter"})</f>
        <v>Autumn</v>
      </c>
      <c r="I306" s="2">
        <f t="shared" si="29"/>
        <v>2023</v>
      </c>
      <c r="J306" s="2" t="s">
        <v>689</v>
      </c>
      <c r="K306" s="2" t="s">
        <v>733</v>
      </c>
      <c r="L306" s="2">
        <v>20</v>
      </c>
      <c r="M306" s="2">
        <v>6</v>
      </c>
    </row>
    <row r="307" spans="1:13" x14ac:dyDescent="0.35">
      <c r="A307" s="3">
        <v>45232</v>
      </c>
      <c r="B307" s="2" t="s">
        <v>325</v>
      </c>
      <c r="C307" s="2">
        <f t="shared" si="27"/>
        <v>5</v>
      </c>
      <c r="D307" s="2" t="str">
        <f t="shared" si="30"/>
        <v>Workday</v>
      </c>
      <c r="E307" s="2">
        <f t="shared" si="28"/>
        <v>11</v>
      </c>
      <c r="F307" s="2" t="str">
        <f t="shared" si="31"/>
        <v>Fourth</v>
      </c>
      <c r="G307" s="2" t="str">
        <f t="shared" si="32"/>
        <v>Second</v>
      </c>
      <c r="H307" s="2" t="str">
        <f>LOOKUP(DAYS360(DATE(YEAR(A307),1,0),A307), {0,81,171,263,352}, {"Winter","Spring","Summer","Autumn","Winter"})</f>
        <v>Autumn</v>
      </c>
      <c r="I307" s="2">
        <f t="shared" si="29"/>
        <v>2023</v>
      </c>
      <c r="J307" s="2" t="s">
        <v>397</v>
      </c>
      <c r="K307" s="2" t="s">
        <v>733</v>
      </c>
      <c r="L307" s="2">
        <v>14</v>
      </c>
      <c r="M307" s="2">
        <v>13</v>
      </c>
    </row>
    <row r="308" spans="1:13" x14ac:dyDescent="0.35">
      <c r="A308" s="3">
        <v>45233</v>
      </c>
      <c r="B308" s="2" t="s">
        <v>13</v>
      </c>
      <c r="C308" s="2">
        <f t="shared" si="27"/>
        <v>6</v>
      </c>
      <c r="D308" s="2" t="str">
        <f t="shared" si="30"/>
        <v>Weekend</v>
      </c>
      <c r="E308" s="2">
        <f t="shared" si="28"/>
        <v>11</v>
      </c>
      <c r="F308" s="2" t="str">
        <f t="shared" si="31"/>
        <v>Fourth</v>
      </c>
      <c r="G308" s="2" t="str">
        <f t="shared" si="32"/>
        <v>Second</v>
      </c>
      <c r="H308" s="2" t="str">
        <f>LOOKUP(DAYS360(DATE(YEAR(A308),1,0),A308), {0,81,171,263,352}, {"Winter","Spring","Summer","Autumn","Winter"})</f>
        <v>Autumn</v>
      </c>
      <c r="I308" s="2">
        <f t="shared" si="29"/>
        <v>2023</v>
      </c>
      <c r="J308" s="2" t="s">
        <v>690</v>
      </c>
      <c r="K308" s="2" t="s">
        <v>733</v>
      </c>
      <c r="L308" s="2">
        <v>18</v>
      </c>
      <c r="M308" s="2">
        <v>5</v>
      </c>
    </row>
    <row r="309" spans="1:13" x14ac:dyDescent="0.35">
      <c r="A309" s="3">
        <v>45234</v>
      </c>
      <c r="B309" s="2" t="s">
        <v>326</v>
      </c>
      <c r="C309" s="2">
        <f t="shared" si="27"/>
        <v>7</v>
      </c>
      <c r="D309" s="2" t="str">
        <f t="shared" si="30"/>
        <v>Weekend</v>
      </c>
      <c r="E309" s="2">
        <f t="shared" si="28"/>
        <v>11</v>
      </c>
      <c r="F309" s="2" t="str">
        <f t="shared" si="31"/>
        <v>Fourth</v>
      </c>
      <c r="G309" s="2" t="str">
        <f t="shared" si="32"/>
        <v>Second</v>
      </c>
      <c r="H309" s="2" t="str">
        <f>LOOKUP(DAYS360(DATE(YEAR(A309),1,0),A309), {0,81,171,263,352}, {"Winter","Spring","Summer","Autumn","Winter"})</f>
        <v>Autumn</v>
      </c>
      <c r="I309" s="2">
        <f t="shared" si="29"/>
        <v>2023</v>
      </c>
      <c r="J309" s="2" t="s">
        <v>382</v>
      </c>
      <c r="K309" s="2" t="s">
        <v>733</v>
      </c>
      <c r="L309" s="2">
        <v>17</v>
      </c>
      <c r="M309" s="2">
        <v>11</v>
      </c>
    </row>
    <row r="310" spans="1:13" x14ac:dyDescent="0.35">
      <c r="A310" s="3">
        <v>45235</v>
      </c>
      <c r="B310" s="2" t="s">
        <v>327</v>
      </c>
      <c r="C310" s="2">
        <f t="shared" si="27"/>
        <v>1</v>
      </c>
      <c r="D310" s="2" t="str">
        <f t="shared" si="30"/>
        <v>Workday</v>
      </c>
      <c r="E310" s="2">
        <f t="shared" si="28"/>
        <v>11</v>
      </c>
      <c r="F310" s="2" t="str">
        <f t="shared" si="31"/>
        <v>Fourth</v>
      </c>
      <c r="G310" s="2" t="str">
        <f t="shared" si="32"/>
        <v>Second</v>
      </c>
      <c r="H310" s="2" t="str">
        <f>LOOKUP(DAYS360(DATE(YEAR(A310),1,0),A310), {0,81,171,263,352}, {"Winter","Spring","Summer","Autumn","Winter"})</f>
        <v>Autumn</v>
      </c>
      <c r="I310" s="2">
        <f t="shared" si="29"/>
        <v>2023</v>
      </c>
      <c r="J310" s="2" t="s">
        <v>423</v>
      </c>
      <c r="K310" s="2" t="s">
        <v>733</v>
      </c>
      <c r="L310" s="2">
        <v>19</v>
      </c>
      <c r="M310" s="2">
        <v>1</v>
      </c>
    </row>
    <row r="311" spans="1:13" x14ac:dyDescent="0.35">
      <c r="A311" s="3">
        <v>45236</v>
      </c>
      <c r="B311" s="2" t="s">
        <v>328</v>
      </c>
      <c r="C311" s="2">
        <f t="shared" si="27"/>
        <v>2</v>
      </c>
      <c r="D311" s="2" t="str">
        <f t="shared" si="30"/>
        <v>Workday</v>
      </c>
      <c r="E311" s="2">
        <f t="shared" si="28"/>
        <v>11</v>
      </c>
      <c r="F311" s="2" t="str">
        <f t="shared" si="31"/>
        <v>Fourth</v>
      </c>
      <c r="G311" s="2" t="str">
        <f t="shared" si="32"/>
        <v>Second</v>
      </c>
      <c r="H311" s="2" t="str">
        <f>LOOKUP(DAYS360(DATE(YEAR(A311),1,0),A311), {0,81,171,263,352}, {"Winter","Spring","Summer","Autumn","Winter"})</f>
        <v>Autumn</v>
      </c>
      <c r="I311" s="2">
        <f t="shared" si="29"/>
        <v>2023</v>
      </c>
      <c r="J311" s="2" t="s">
        <v>691</v>
      </c>
      <c r="K311" s="2" t="s">
        <v>733</v>
      </c>
      <c r="L311" s="2">
        <v>7</v>
      </c>
      <c r="M311" s="2">
        <v>8</v>
      </c>
    </row>
    <row r="312" spans="1:13" x14ac:dyDescent="0.35">
      <c r="A312" s="3">
        <v>45237</v>
      </c>
      <c r="B312" s="2" t="s">
        <v>329</v>
      </c>
      <c r="C312" s="2">
        <f t="shared" si="27"/>
        <v>3</v>
      </c>
      <c r="D312" s="2" t="str">
        <f t="shared" si="30"/>
        <v>Workday</v>
      </c>
      <c r="E312" s="2">
        <f t="shared" si="28"/>
        <v>11</v>
      </c>
      <c r="F312" s="2" t="str">
        <f t="shared" si="31"/>
        <v>Fourth</v>
      </c>
      <c r="G312" s="2" t="str">
        <f t="shared" si="32"/>
        <v>Second</v>
      </c>
      <c r="H312" s="2" t="str">
        <f>LOOKUP(DAYS360(DATE(YEAR(A312),1,0),A312), {0,81,171,263,352}, {"Winter","Spring","Summer","Autumn","Winter"})</f>
        <v>Autumn</v>
      </c>
      <c r="I312" s="2">
        <f t="shared" si="29"/>
        <v>2023</v>
      </c>
      <c r="J312" s="2" t="s">
        <v>692</v>
      </c>
      <c r="K312" s="2" t="s">
        <v>733</v>
      </c>
      <c r="L312" s="2">
        <v>15</v>
      </c>
      <c r="M312" s="2">
        <v>13</v>
      </c>
    </row>
    <row r="313" spans="1:13" x14ac:dyDescent="0.35">
      <c r="A313" s="3">
        <v>45238</v>
      </c>
      <c r="B313" s="2" t="s">
        <v>330</v>
      </c>
      <c r="C313" s="2">
        <f t="shared" si="27"/>
        <v>4</v>
      </c>
      <c r="D313" s="2" t="str">
        <f t="shared" si="30"/>
        <v>Workday</v>
      </c>
      <c r="E313" s="2">
        <f t="shared" si="28"/>
        <v>11</v>
      </c>
      <c r="F313" s="2" t="str">
        <f t="shared" si="31"/>
        <v>Fourth</v>
      </c>
      <c r="G313" s="2" t="str">
        <f t="shared" si="32"/>
        <v>Second</v>
      </c>
      <c r="H313" s="2" t="str">
        <f>LOOKUP(DAYS360(DATE(YEAR(A313),1,0),A313), {0,81,171,263,352}, {"Winter","Spring","Summer","Autumn","Winter"})</f>
        <v>Autumn</v>
      </c>
      <c r="I313" s="2">
        <f t="shared" si="29"/>
        <v>2023</v>
      </c>
      <c r="J313" s="2" t="s">
        <v>693</v>
      </c>
      <c r="K313" s="2" t="s">
        <v>733</v>
      </c>
      <c r="L313" s="2">
        <v>20</v>
      </c>
      <c r="M313" s="2">
        <v>7</v>
      </c>
    </row>
    <row r="314" spans="1:13" x14ac:dyDescent="0.35">
      <c r="A314" s="3">
        <v>45239</v>
      </c>
      <c r="B314" s="2" t="s">
        <v>331</v>
      </c>
      <c r="C314" s="2">
        <f t="shared" si="27"/>
        <v>5</v>
      </c>
      <c r="D314" s="2" t="str">
        <f t="shared" si="30"/>
        <v>Workday</v>
      </c>
      <c r="E314" s="2">
        <f t="shared" si="28"/>
        <v>11</v>
      </c>
      <c r="F314" s="2" t="str">
        <f t="shared" si="31"/>
        <v>Fourth</v>
      </c>
      <c r="G314" s="2" t="str">
        <f t="shared" si="32"/>
        <v>Second</v>
      </c>
      <c r="H314" s="2" t="str">
        <f>LOOKUP(DAYS360(DATE(YEAR(A314),1,0),A314), {0,81,171,263,352}, {"Winter","Spring","Summer","Autumn","Winter"})</f>
        <v>Autumn</v>
      </c>
      <c r="I314" s="2">
        <f t="shared" si="29"/>
        <v>2023</v>
      </c>
      <c r="J314" s="2" t="s">
        <v>694</v>
      </c>
      <c r="K314" s="2" t="s">
        <v>733</v>
      </c>
      <c r="L314" s="2">
        <v>12</v>
      </c>
      <c r="M314" s="2">
        <v>6</v>
      </c>
    </row>
    <row r="315" spans="1:13" x14ac:dyDescent="0.35">
      <c r="A315" s="3">
        <v>45240</v>
      </c>
      <c r="B315" s="2" t="s">
        <v>332</v>
      </c>
      <c r="C315" s="2">
        <f t="shared" si="27"/>
        <v>6</v>
      </c>
      <c r="D315" s="2" t="str">
        <f t="shared" si="30"/>
        <v>Weekend</v>
      </c>
      <c r="E315" s="2">
        <f t="shared" si="28"/>
        <v>11</v>
      </c>
      <c r="F315" s="2" t="str">
        <f t="shared" si="31"/>
        <v>Fourth</v>
      </c>
      <c r="G315" s="2" t="str">
        <f t="shared" si="32"/>
        <v>Second</v>
      </c>
      <c r="H315" s="2" t="str">
        <f>LOOKUP(DAYS360(DATE(YEAR(A315),1,0),A315), {0,81,171,263,352}, {"Winter","Spring","Summer","Autumn","Winter"})</f>
        <v>Autumn</v>
      </c>
      <c r="I315" s="2">
        <f t="shared" si="29"/>
        <v>2023</v>
      </c>
      <c r="J315" s="2" t="s">
        <v>411</v>
      </c>
      <c r="K315" s="2" t="s">
        <v>733</v>
      </c>
      <c r="L315" s="2">
        <v>11</v>
      </c>
      <c r="M315" s="2">
        <v>17</v>
      </c>
    </row>
    <row r="316" spans="1:13" x14ac:dyDescent="0.35">
      <c r="A316" s="3">
        <v>45241</v>
      </c>
      <c r="B316" s="2" t="s">
        <v>333</v>
      </c>
      <c r="C316" s="2">
        <f t="shared" si="27"/>
        <v>7</v>
      </c>
      <c r="D316" s="2" t="str">
        <f t="shared" si="30"/>
        <v>Weekend</v>
      </c>
      <c r="E316" s="2">
        <f t="shared" si="28"/>
        <v>11</v>
      </c>
      <c r="F316" s="2" t="str">
        <f t="shared" si="31"/>
        <v>Fourth</v>
      </c>
      <c r="G316" s="2" t="str">
        <f t="shared" si="32"/>
        <v>Second</v>
      </c>
      <c r="H316" s="2" t="str">
        <f>LOOKUP(DAYS360(DATE(YEAR(A316),1,0),A316), {0,81,171,263,352}, {"Winter","Spring","Summer","Autumn","Winter"})</f>
        <v>Autumn</v>
      </c>
      <c r="I316" s="2">
        <f t="shared" si="29"/>
        <v>2023</v>
      </c>
      <c r="J316" s="2" t="s">
        <v>695</v>
      </c>
      <c r="K316" s="2" t="s">
        <v>733</v>
      </c>
      <c r="L316" s="2">
        <v>18</v>
      </c>
      <c r="M316" s="2">
        <v>8</v>
      </c>
    </row>
    <row r="317" spans="1:13" x14ac:dyDescent="0.35">
      <c r="A317" s="3">
        <v>45242</v>
      </c>
      <c r="B317" s="2" t="s">
        <v>334</v>
      </c>
      <c r="C317" s="2">
        <f t="shared" si="27"/>
        <v>1</v>
      </c>
      <c r="D317" s="2" t="str">
        <f t="shared" si="30"/>
        <v>Workday</v>
      </c>
      <c r="E317" s="2">
        <f t="shared" si="28"/>
        <v>11</v>
      </c>
      <c r="F317" s="2" t="str">
        <f t="shared" si="31"/>
        <v>Fourth</v>
      </c>
      <c r="G317" s="2" t="str">
        <f t="shared" si="32"/>
        <v>Second</v>
      </c>
      <c r="H317" s="2" t="str">
        <f>LOOKUP(DAYS360(DATE(YEAR(A317),1,0),A317), {0,81,171,263,352}, {"Winter","Spring","Summer","Autumn","Winter"})</f>
        <v>Autumn</v>
      </c>
      <c r="I317" s="2">
        <f t="shared" si="29"/>
        <v>2023</v>
      </c>
      <c r="J317" s="2" t="s">
        <v>696</v>
      </c>
      <c r="K317" s="2" t="s">
        <v>733</v>
      </c>
      <c r="L317" s="2">
        <v>16</v>
      </c>
      <c r="M317" s="2">
        <v>1</v>
      </c>
    </row>
    <row r="318" spans="1:13" x14ac:dyDescent="0.35">
      <c r="A318" s="3">
        <v>45243</v>
      </c>
      <c r="B318" s="2" t="s">
        <v>335</v>
      </c>
      <c r="C318" s="2">
        <f t="shared" si="27"/>
        <v>2</v>
      </c>
      <c r="D318" s="2" t="str">
        <f t="shared" si="30"/>
        <v>Workday</v>
      </c>
      <c r="E318" s="2">
        <f t="shared" si="28"/>
        <v>11</v>
      </c>
      <c r="F318" s="2" t="str">
        <f t="shared" si="31"/>
        <v>Fourth</v>
      </c>
      <c r="G318" s="2" t="str">
        <f t="shared" si="32"/>
        <v>Second</v>
      </c>
      <c r="H318" s="2" t="str">
        <f>LOOKUP(DAYS360(DATE(YEAR(A318),1,0),A318), {0,81,171,263,352}, {"Winter","Spring","Summer","Autumn","Winter"})</f>
        <v>Autumn</v>
      </c>
      <c r="I318" s="2">
        <f t="shared" si="29"/>
        <v>2023</v>
      </c>
      <c r="J318" s="2" t="s">
        <v>438</v>
      </c>
      <c r="K318" s="2" t="s">
        <v>733</v>
      </c>
      <c r="L318" s="2">
        <v>19</v>
      </c>
      <c r="M318" s="2">
        <v>15</v>
      </c>
    </row>
    <row r="319" spans="1:13" x14ac:dyDescent="0.35">
      <c r="A319" s="3">
        <v>45244</v>
      </c>
      <c r="B319" s="2" t="s">
        <v>336</v>
      </c>
      <c r="C319" s="2">
        <f t="shared" si="27"/>
        <v>3</v>
      </c>
      <c r="D319" s="2" t="str">
        <f t="shared" si="30"/>
        <v>Workday</v>
      </c>
      <c r="E319" s="2">
        <f t="shared" si="28"/>
        <v>11</v>
      </c>
      <c r="F319" s="2" t="str">
        <f t="shared" si="31"/>
        <v>Fourth</v>
      </c>
      <c r="G319" s="2" t="str">
        <f t="shared" si="32"/>
        <v>Second</v>
      </c>
      <c r="H319" s="2" t="str">
        <f>LOOKUP(DAYS360(DATE(YEAR(A319),1,0),A319), {0,81,171,263,352}, {"Winter","Spring","Summer","Autumn","Winter"})</f>
        <v>Autumn</v>
      </c>
      <c r="I319" s="2">
        <f t="shared" si="29"/>
        <v>2023</v>
      </c>
      <c r="J319" s="2" t="s">
        <v>697</v>
      </c>
      <c r="K319" s="2" t="s">
        <v>733</v>
      </c>
      <c r="L319" s="2">
        <v>4</v>
      </c>
      <c r="M319" s="2">
        <v>18</v>
      </c>
    </row>
    <row r="320" spans="1:13" x14ac:dyDescent="0.35">
      <c r="A320" s="3">
        <v>45245</v>
      </c>
      <c r="B320" s="2" t="s">
        <v>337</v>
      </c>
      <c r="C320" s="2">
        <f t="shared" si="27"/>
        <v>4</v>
      </c>
      <c r="D320" s="2" t="str">
        <f t="shared" si="30"/>
        <v>Workday</v>
      </c>
      <c r="E320" s="2">
        <f t="shared" si="28"/>
        <v>11</v>
      </c>
      <c r="F320" s="2" t="str">
        <f t="shared" si="31"/>
        <v>Fourth</v>
      </c>
      <c r="G320" s="2" t="str">
        <f t="shared" si="32"/>
        <v>Second</v>
      </c>
      <c r="H320" s="2" t="str">
        <f>LOOKUP(DAYS360(DATE(YEAR(A320),1,0),A320), {0,81,171,263,352}, {"Winter","Spring","Summer","Autumn","Winter"})</f>
        <v>Autumn</v>
      </c>
      <c r="I320" s="2">
        <f t="shared" si="29"/>
        <v>2023</v>
      </c>
      <c r="J320" s="2" t="s">
        <v>698</v>
      </c>
      <c r="K320" s="2" t="s">
        <v>733</v>
      </c>
      <c r="L320" s="2">
        <v>17</v>
      </c>
      <c r="M320" s="2">
        <v>8</v>
      </c>
    </row>
    <row r="321" spans="1:13" x14ac:dyDescent="0.35">
      <c r="A321" s="3">
        <v>45246</v>
      </c>
      <c r="B321" s="2" t="s">
        <v>338</v>
      </c>
      <c r="C321" s="2">
        <f t="shared" si="27"/>
        <v>5</v>
      </c>
      <c r="D321" s="2" t="str">
        <f t="shared" si="30"/>
        <v>Workday</v>
      </c>
      <c r="E321" s="2">
        <f t="shared" si="28"/>
        <v>11</v>
      </c>
      <c r="F321" s="2" t="str">
        <f t="shared" si="31"/>
        <v>Fourth</v>
      </c>
      <c r="G321" s="2" t="str">
        <f t="shared" si="32"/>
        <v>Second</v>
      </c>
      <c r="H321" s="2" t="str">
        <f>LOOKUP(DAYS360(DATE(YEAR(A321),1,0),A321), {0,81,171,263,352}, {"Winter","Spring","Summer","Autumn","Winter"})</f>
        <v>Autumn</v>
      </c>
      <c r="I321" s="2">
        <f t="shared" si="29"/>
        <v>2023</v>
      </c>
      <c r="J321" s="2" t="s">
        <v>699</v>
      </c>
      <c r="K321" s="2" t="s">
        <v>733</v>
      </c>
      <c r="L321" s="2">
        <v>3</v>
      </c>
      <c r="M321" s="2">
        <v>10</v>
      </c>
    </row>
    <row r="322" spans="1:13" x14ac:dyDescent="0.35">
      <c r="A322" s="3">
        <v>45247</v>
      </c>
      <c r="B322" s="2" t="s">
        <v>18</v>
      </c>
      <c r="C322" s="2">
        <f t="shared" ref="C322:C366" si="33">WEEKDAY(A322)</f>
        <v>6</v>
      </c>
      <c r="D322" s="2" t="str">
        <f t="shared" si="30"/>
        <v>Weekend</v>
      </c>
      <c r="E322" s="2">
        <f t="shared" ref="E322:E366" si="34">MONTH(A322)</f>
        <v>11</v>
      </c>
      <c r="F322" s="2" t="str">
        <f t="shared" si="31"/>
        <v>Fourth</v>
      </c>
      <c r="G322" s="2" t="str">
        <f t="shared" si="32"/>
        <v>Second</v>
      </c>
      <c r="H322" s="2" t="str">
        <f>LOOKUP(DAYS360(DATE(YEAR(A322),1,0),A322), {0,81,171,263,352}, {"Winter","Spring","Summer","Autumn","Winter"})</f>
        <v>Autumn</v>
      </c>
      <c r="I322" s="2">
        <f t="shared" ref="I322:I352" si="35">YEAR(A322)</f>
        <v>2023</v>
      </c>
      <c r="J322" s="2" t="s">
        <v>700</v>
      </c>
      <c r="K322" s="2" t="s">
        <v>733</v>
      </c>
      <c r="L322" s="2">
        <v>19</v>
      </c>
      <c r="M322" s="2">
        <v>12</v>
      </c>
    </row>
    <row r="323" spans="1:13" x14ac:dyDescent="0.35">
      <c r="A323" s="3">
        <v>45248</v>
      </c>
      <c r="B323" s="2" t="s">
        <v>339</v>
      </c>
      <c r="C323" s="2">
        <f t="shared" si="33"/>
        <v>7</v>
      </c>
      <c r="D323" s="2" t="str">
        <f t="shared" si="30"/>
        <v>Weekend</v>
      </c>
      <c r="E323" s="2">
        <f t="shared" si="34"/>
        <v>11</v>
      </c>
      <c r="F323" s="2" t="str">
        <f t="shared" si="31"/>
        <v>Fourth</v>
      </c>
      <c r="G323" s="2" t="str">
        <f t="shared" si="32"/>
        <v>Second</v>
      </c>
      <c r="H323" s="2" t="str">
        <f>LOOKUP(DAYS360(DATE(YEAR(A323),1,0),A323), {0,81,171,263,352}, {"Winter","Spring","Summer","Autumn","Winter"})</f>
        <v>Autumn</v>
      </c>
      <c r="I323" s="2">
        <f t="shared" si="35"/>
        <v>2023</v>
      </c>
      <c r="J323" s="2" t="s">
        <v>427</v>
      </c>
      <c r="K323" s="2" t="s">
        <v>733</v>
      </c>
      <c r="L323" s="2">
        <v>13</v>
      </c>
      <c r="M323" s="2">
        <v>2</v>
      </c>
    </row>
    <row r="324" spans="1:13" x14ac:dyDescent="0.35">
      <c r="A324" s="3">
        <v>45249</v>
      </c>
      <c r="B324" s="2" t="s">
        <v>340</v>
      </c>
      <c r="C324" s="2">
        <f t="shared" si="33"/>
        <v>1</v>
      </c>
      <c r="D324" s="2" t="str">
        <f t="shared" si="30"/>
        <v>Workday</v>
      </c>
      <c r="E324" s="2">
        <f t="shared" si="34"/>
        <v>11</v>
      </c>
      <c r="F324" s="2" t="str">
        <f t="shared" si="31"/>
        <v>Fourth</v>
      </c>
      <c r="G324" s="2" t="str">
        <f t="shared" si="32"/>
        <v>Second</v>
      </c>
      <c r="H324" s="2" t="str">
        <f>LOOKUP(DAYS360(DATE(YEAR(A324),1,0),A324), {0,81,171,263,352}, {"Winter","Spring","Summer","Autumn","Winter"})</f>
        <v>Autumn</v>
      </c>
      <c r="I324" s="2">
        <f t="shared" si="35"/>
        <v>2023</v>
      </c>
      <c r="J324" s="2" t="s">
        <v>701</v>
      </c>
      <c r="K324" s="2" t="s">
        <v>733</v>
      </c>
      <c r="L324" s="2">
        <v>16</v>
      </c>
      <c r="M324" s="2">
        <v>19</v>
      </c>
    </row>
    <row r="325" spans="1:13" x14ac:dyDescent="0.35">
      <c r="A325" s="3">
        <v>45250</v>
      </c>
      <c r="B325" s="2" t="s">
        <v>341</v>
      </c>
      <c r="C325" s="2">
        <f t="shared" si="33"/>
        <v>2</v>
      </c>
      <c r="D325" s="2" t="str">
        <f t="shared" si="30"/>
        <v>Workday</v>
      </c>
      <c r="E325" s="2">
        <f t="shared" si="34"/>
        <v>11</v>
      </c>
      <c r="F325" s="2" t="str">
        <f t="shared" si="31"/>
        <v>Fourth</v>
      </c>
      <c r="G325" s="2" t="str">
        <f t="shared" si="32"/>
        <v>Second</v>
      </c>
      <c r="H325" s="2" t="str">
        <f>LOOKUP(DAYS360(DATE(YEAR(A325),1,0),A325), {0,81,171,263,352}, {"Winter","Spring","Summer","Autumn","Winter"})</f>
        <v>Autumn</v>
      </c>
      <c r="I325" s="2">
        <f t="shared" si="35"/>
        <v>2023</v>
      </c>
      <c r="J325" s="2" t="s">
        <v>702</v>
      </c>
      <c r="K325" s="2" t="s">
        <v>733</v>
      </c>
      <c r="L325" s="2">
        <v>2</v>
      </c>
      <c r="M325" s="2">
        <v>11</v>
      </c>
    </row>
    <row r="326" spans="1:13" x14ac:dyDescent="0.35">
      <c r="A326" s="3">
        <v>45251</v>
      </c>
      <c r="B326" s="2" t="s">
        <v>342</v>
      </c>
      <c r="C326" s="2">
        <f t="shared" si="33"/>
        <v>3</v>
      </c>
      <c r="D326" s="2" t="str">
        <f t="shared" si="30"/>
        <v>Workday</v>
      </c>
      <c r="E326" s="2">
        <f t="shared" si="34"/>
        <v>11</v>
      </c>
      <c r="F326" s="2" t="str">
        <f t="shared" si="31"/>
        <v>Fourth</v>
      </c>
      <c r="G326" s="2" t="str">
        <f t="shared" si="32"/>
        <v>Second</v>
      </c>
      <c r="H326" s="2" t="str">
        <f>LOOKUP(DAYS360(DATE(YEAR(A326),1,0),A326), {0,81,171,263,352}, {"Winter","Spring","Summer","Autumn","Winter"})</f>
        <v>Autumn</v>
      </c>
      <c r="I326" s="2">
        <f t="shared" si="35"/>
        <v>2023</v>
      </c>
      <c r="J326" s="2" t="s">
        <v>703</v>
      </c>
      <c r="K326" s="2" t="s">
        <v>733</v>
      </c>
      <c r="L326" s="2">
        <v>18</v>
      </c>
      <c r="M326" s="2">
        <v>6</v>
      </c>
    </row>
    <row r="327" spans="1:13" x14ac:dyDescent="0.35">
      <c r="A327" s="3">
        <v>45252</v>
      </c>
      <c r="B327" s="2" t="s">
        <v>343</v>
      </c>
      <c r="C327" s="2">
        <f t="shared" si="33"/>
        <v>4</v>
      </c>
      <c r="D327" s="2" t="str">
        <f t="shared" si="30"/>
        <v>Workday</v>
      </c>
      <c r="E327" s="2">
        <f t="shared" si="34"/>
        <v>11</v>
      </c>
      <c r="F327" s="2" t="str">
        <f t="shared" si="31"/>
        <v>Fourth</v>
      </c>
      <c r="G327" s="2" t="str">
        <f t="shared" si="32"/>
        <v>Second</v>
      </c>
      <c r="H327" s="2" t="str">
        <f>LOOKUP(DAYS360(DATE(YEAR(A327),1,0),A327), {0,81,171,263,352}, {"Winter","Spring","Summer","Autumn","Winter"})</f>
        <v>Autumn</v>
      </c>
      <c r="I327" s="2">
        <f t="shared" si="35"/>
        <v>2023</v>
      </c>
      <c r="J327" s="2" t="s">
        <v>704</v>
      </c>
      <c r="K327" s="2" t="s">
        <v>733</v>
      </c>
      <c r="L327" s="2">
        <v>7</v>
      </c>
      <c r="M327" s="2">
        <v>4</v>
      </c>
    </row>
    <row r="328" spans="1:13" x14ac:dyDescent="0.35">
      <c r="A328" s="3">
        <v>45253</v>
      </c>
      <c r="B328" s="2" t="s">
        <v>344</v>
      </c>
      <c r="C328" s="2">
        <f t="shared" si="33"/>
        <v>5</v>
      </c>
      <c r="D328" s="2" t="str">
        <f t="shared" si="30"/>
        <v>Workday</v>
      </c>
      <c r="E328" s="2">
        <f t="shared" si="34"/>
        <v>11</v>
      </c>
      <c r="F328" s="2" t="str">
        <f t="shared" si="31"/>
        <v>Fourth</v>
      </c>
      <c r="G328" s="2" t="str">
        <f t="shared" si="32"/>
        <v>Second</v>
      </c>
      <c r="H328" s="2" t="str">
        <f>LOOKUP(DAYS360(DATE(YEAR(A328),1,0),A328), {0,81,171,263,352}, {"Winter","Spring","Summer","Autumn","Winter"})</f>
        <v>Autumn</v>
      </c>
      <c r="I328" s="2">
        <f t="shared" si="35"/>
        <v>2023</v>
      </c>
      <c r="J328" s="2" t="s">
        <v>705</v>
      </c>
      <c r="K328" s="2" t="s">
        <v>733</v>
      </c>
      <c r="L328" s="2">
        <v>14</v>
      </c>
      <c r="M328" s="2">
        <v>6</v>
      </c>
    </row>
    <row r="329" spans="1:13" x14ac:dyDescent="0.35">
      <c r="A329" s="3">
        <v>45254</v>
      </c>
      <c r="B329" s="2" t="s">
        <v>24</v>
      </c>
      <c r="C329" s="2">
        <f t="shared" si="33"/>
        <v>6</v>
      </c>
      <c r="D329" s="2" t="str">
        <f t="shared" si="30"/>
        <v>Weekend</v>
      </c>
      <c r="E329" s="2">
        <f t="shared" si="34"/>
        <v>11</v>
      </c>
      <c r="F329" s="2" t="str">
        <f t="shared" si="31"/>
        <v>Fourth</v>
      </c>
      <c r="G329" s="2" t="str">
        <f t="shared" si="32"/>
        <v>Second</v>
      </c>
      <c r="H329" s="2" t="str">
        <f>LOOKUP(DAYS360(DATE(YEAR(A329),1,0),A329), {0,81,171,263,352}, {"Winter","Spring","Summer","Autumn","Winter"})</f>
        <v>Autumn</v>
      </c>
      <c r="I329" s="2">
        <f t="shared" si="35"/>
        <v>2023</v>
      </c>
      <c r="J329" s="2" t="s">
        <v>706</v>
      </c>
      <c r="K329" s="2" t="s">
        <v>733</v>
      </c>
      <c r="L329" s="2">
        <v>6</v>
      </c>
      <c r="M329" s="2">
        <v>20</v>
      </c>
    </row>
    <row r="330" spans="1:13" x14ac:dyDescent="0.35">
      <c r="A330" s="3">
        <v>45255</v>
      </c>
      <c r="B330" s="2" t="s">
        <v>345</v>
      </c>
      <c r="C330" s="2">
        <f t="shared" si="33"/>
        <v>7</v>
      </c>
      <c r="D330" s="2" t="str">
        <f t="shared" si="30"/>
        <v>Weekend</v>
      </c>
      <c r="E330" s="2">
        <f t="shared" si="34"/>
        <v>11</v>
      </c>
      <c r="F330" s="2" t="str">
        <f t="shared" si="31"/>
        <v>Fourth</v>
      </c>
      <c r="G330" s="2" t="str">
        <f t="shared" si="32"/>
        <v>Second</v>
      </c>
      <c r="H330" s="2" t="str">
        <f>LOOKUP(DAYS360(DATE(YEAR(A330),1,0),A330), {0,81,171,263,352}, {"Winter","Spring","Summer","Autumn","Winter"})</f>
        <v>Autumn</v>
      </c>
      <c r="I330" s="2">
        <f t="shared" si="35"/>
        <v>2023</v>
      </c>
      <c r="J330" s="2" t="s">
        <v>404</v>
      </c>
      <c r="K330" s="2" t="s">
        <v>733</v>
      </c>
      <c r="L330" s="2">
        <v>3</v>
      </c>
      <c r="M330" s="2">
        <v>15</v>
      </c>
    </row>
    <row r="331" spans="1:13" x14ac:dyDescent="0.35">
      <c r="A331" s="3">
        <v>45256</v>
      </c>
      <c r="B331" s="2" t="s">
        <v>346</v>
      </c>
      <c r="C331" s="2">
        <f t="shared" si="33"/>
        <v>1</v>
      </c>
      <c r="D331" s="2" t="str">
        <f t="shared" si="30"/>
        <v>Workday</v>
      </c>
      <c r="E331" s="2">
        <f t="shared" si="34"/>
        <v>11</v>
      </c>
      <c r="F331" s="2" t="str">
        <f t="shared" si="31"/>
        <v>Fourth</v>
      </c>
      <c r="G331" s="2" t="str">
        <f t="shared" si="32"/>
        <v>Second</v>
      </c>
      <c r="H331" s="2" t="str">
        <f>LOOKUP(DAYS360(DATE(YEAR(A331),1,0),A331), {0,81,171,263,352}, {"Winter","Spring","Summer","Autumn","Winter"})</f>
        <v>Autumn</v>
      </c>
      <c r="I331" s="2">
        <f t="shared" si="35"/>
        <v>2023</v>
      </c>
      <c r="J331" s="2" t="s">
        <v>707</v>
      </c>
      <c r="K331" s="2" t="s">
        <v>733</v>
      </c>
      <c r="L331" s="2">
        <v>14</v>
      </c>
      <c r="M331" s="2">
        <v>3</v>
      </c>
    </row>
    <row r="332" spans="1:13" x14ac:dyDescent="0.35">
      <c r="A332" s="3">
        <v>45257</v>
      </c>
      <c r="B332" s="2" t="s">
        <v>347</v>
      </c>
      <c r="C332" s="2">
        <f t="shared" si="33"/>
        <v>2</v>
      </c>
      <c r="D332" s="2" t="str">
        <f t="shared" si="30"/>
        <v>Workday</v>
      </c>
      <c r="E332" s="2">
        <f t="shared" si="34"/>
        <v>11</v>
      </c>
      <c r="F332" s="2" t="str">
        <f t="shared" si="31"/>
        <v>Fourth</v>
      </c>
      <c r="G332" s="2" t="str">
        <f t="shared" si="32"/>
        <v>Second</v>
      </c>
      <c r="H332" s="2" t="str">
        <f>LOOKUP(DAYS360(DATE(YEAR(A332),1,0),A332), {0,81,171,263,352}, {"Winter","Spring","Summer","Autumn","Winter"})</f>
        <v>Autumn</v>
      </c>
      <c r="I332" s="2">
        <f t="shared" si="35"/>
        <v>2023</v>
      </c>
      <c r="J332" s="2" t="s">
        <v>708</v>
      </c>
      <c r="K332" s="2" t="s">
        <v>733</v>
      </c>
      <c r="L332" s="2">
        <v>8</v>
      </c>
      <c r="M332" s="2">
        <v>10</v>
      </c>
    </row>
    <row r="333" spans="1:13" x14ac:dyDescent="0.35">
      <c r="A333" s="3">
        <v>45258</v>
      </c>
      <c r="B333" s="2" t="s">
        <v>348</v>
      </c>
      <c r="C333" s="2">
        <f t="shared" si="33"/>
        <v>3</v>
      </c>
      <c r="D333" s="2" t="str">
        <f t="shared" si="30"/>
        <v>Workday</v>
      </c>
      <c r="E333" s="2">
        <f t="shared" si="34"/>
        <v>11</v>
      </c>
      <c r="F333" s="2" t="str">
        <f t="shared" si="31"/>
        <v>Fourth</v>
      </c>
      <c r="G333" s="2" t="str">
        <f t="shared" si="32"/>
        <v>Second</v>
      </c>
      <c r="H333" s="2" t="str">
        <f>LOOKUP(DAYS360(DATE(YEAR(A333),1,0),A333), {0,81,171,263,352}, {"Winter","Spring","Summer","Autumn","Winter"})</f>
        <v>Autumn</v>
      </c>
      <c r="I333" s="2">
        <f t="shared" si="35"/>
        <v>2023</v>
      </c>
      <c r="J333" s="2" t="s">
        <v>709</v>
      </c>
      <c r="K333" s="2" t="s">
        <v>733</v>
      </c>
      <c r="L333" s="2">
        <v>8</v>
      </c>
      <c r="M333" s="2">
        <v>15</v>
      </c>
    </row>
    <row r="334" spans="1:13" x14ac:dyDescent="0.35">
      <c r="A334" s="3">
        <v>45259</v>
      </c>
      <c r="B334" s="2" t="s">
        <v>349</v>
      </c>
      <c r="C334" s="2">
        <f t="shared" si="33"/>
        <v>4</v>
      </c>
      <c r="D334" s="2" t="str">
        <f t="shared" si="30"/>
        <v>Workday</v>
      </c>
      <c r="E334" s="2">
        <f t="shared" si="34"/>
        <v>11</v>
      </c>
      <c r="F334" s="2" t="str">
        <f t="shared" si="31"/>
        <v>Fourth</v>
      </c>
      <c r="G334" s="2" t="str">
        <f t="shared" si="32"/>
        <v>Second</v>
      </c>
      <c r="H334" s="2" t="str">
        <f>LOOKUP(DAYS360(DATE(YEAR(A334),1,0),A334), {0,81,171,263,352}, {"Winter","Spring","Summer","Autumn","Winter"})</f>
        <v>Autumn</v>
      </c>
      <c r="I334" s="2">
        <f t="shared" si="35"/>
        <v>2023</v>
      </c>
      <c r="J334" s="2" t="s">
        <v>710</v>
      </c>
      <c r="K334" s="2" t="s">
        <v>733</v>
      </c>
      <c r="L334" s="2">
        <v>20</v>
      </c>
      <c r="M334" s="2">
        <v>3</v>
      </c>
    </row>
    <row r="335" spans="1:13" x14ac:dyDescent="0.35">
      <c r="A335" s="3">
        <v>45260</v>
      </c>
      <c r="B335" s="2" t="s">
        <v>350</v>
      </c>
      <c r="C335" s="2">
        <f t="shared" si="33"/>
        <v>5</v>
      </c>
      <c r="D335" s="2" t="str">
        <f t="shared" si="30"/>
        <v>Workday</v>
      </c>
      <c r="E335" s="2">
        <f t="shared" si="34"/>
        <v>11</v>
      </c>
      <c r="F335" s="2" t="str">
        <f t="shared" si="31"/>
        <v>Fourth</v>
      </c>
      <c r="G335" s="2" t="str">
        <f t="shared" si="32"/>
        <v>Second</v>
      </c>
      <c r="H335" s="2" t="str">
        <f>LOOKUP(DAYS360(DATE(YEAR(A335),1,0),A335), {0,81,171,263,352}, {"Winter","Spring","Summer","Autumn","Winter"})</f>
        <v>Autumn</v>
      </c>
      <c r="I335" s="2">
        <f t="shared" si="35"/>
        <v>2023</v>
      </c>
      <c r="J335" s="2" t="s">
        <v>711</v>
      </c>
      <c r="K335" s="2" t="s">
        <v>733</v>
      </c>
      <c r="L335" s="2">
        <v>2</v>
      </c>
      <c r="M335" s="2">
        <v>7</v>
      </c>
    </row>
    <row r="336" spans="1:13" x14ac:dyDescent="0.35">
      <c r="A336" s="3">
        <v>45261</v>
      </c>
      <c r="B336" s="2" t="s">
        <v>351</v>
      </c>
      <c r="C336" s="2">
        <f t="shared" si="33"/>
        <v>6</v>
      </c>
      <c r="D336" s="2" t="str">
        <f t="shared" si="30"/>
        <v>Weekend</v>
      </c>
      <c r="E336" s="2">
        <f t="shared" si="34"/>
        <v>12</v>
      </c>
      <c r="F336" s="2" t="str">
        <f t="shared" si="31"/>
        <v>Fourth</v>
      </c>
      <c r="G336" s="2" t="str">
        <f t="shared" si="32"/>
        <v>Second</v>
      </c>
      <c r="H336" s="2" t="str">
        <f>LOOKUP(DAYS360(DATE(YEAR(A336),1,0),A336), {0,81,171,263,352}, {"Winter","Spring","Summer","Autumn","Winter"})</f>
        <v>Autumn</v>
      </c>
      <c r="I336" s="2">
        <f t="shared" si="35"/>
        <v>2023</v>
      </c>
      <c r="J336" s="2" t="s">
        <v>712</v>
      </c>
      <c r="K336" s="2" t="s">
        <v>733</v>
      </c>
      <c r="L336" s="2">
        <v>12</v>
      </c>
      <c r="M336" s="2">
        <v>1</v>
      </c>
    </row>
    <row r="337" spans="1:13" x14ac:dyDescent="0.35">
      <c r="A337" s="3">
        <v>45262</v>
      </c>
      <c r="B337" s="2" t="s">
        <v>352</v>
      </c>
      <c r="C337" s="2">
        <f t="shared" si="33"/>
        <v>7</v>
      </c>
      <c r="D337" s="2" t="str">
        <f t="shared" si="30"/>
        <v>Weekend</v>
      </c>
      <c r="E337" s="2">
        <f t="shared" si="34"/>
        <v>12</v>
      </c>
      <c r="F337" s="2" t="str">
        <f t="shared" si="31"/>
        <v>Fourth</v>
      </c>
      <c r="G337" s="2" t="str">
        <f t="shared" si="32"/>
        <v>Second</v>
      </c>
      <c r="H337" s="2" t="str">
        <f>LOOKUP(DAYS360(DATE(YEAR(A337),1,0),A337), {0,81,171,263,352}, {"Winter","Spring","Summer","Autumn","Winter"})</f>
        <v>Autumn</v>
      </c>
      <c r="I337" s="2">
        <f t="shared" si="35"/>
        <v>2023</v>
      </c>
      <c r="J337" s="2" t="s">
        <v>713</v>
      </c>
      <c r="K337" s="2" t="s">
        <v>733</v>
      </c>
      <c r="L337" s="2">
        <v>5</v>
      </c>
      <c r="M337" s="2">
        <v>5</v>
      </c>
    </row>
    <row r="338" spans="1:13" x14ac:dyDescent="0.35">
      <c r="A338" s="3">
        <v>45263</v>
      </c>
      <c r="B338" s="2" t="s">
        <v>353</v>
      </c>
      <c r="C338" s="2">
        <f t="shared" si="33"/>
        <v>1</v>
      </c>
      <c r="D338" s="2" t="str">
        <f t="shared" si="30"/>
        <v>Workday</v>
      </c>
      <c r="E338" s="2">
        <f t="shared" si="34"/>
        <v>12</v>
      </c>
      <c r="F338" s="2" t="str">
        <f t="shared" si="31"/>
        <v>Fourth</v>
      </c>
      <c r="G338" s="2" t="str">
        <f t="shared" si="32"/>
        <v>Second</v>
      </c>
      <c r="H338" s="2" t="str">
        <f>LOOKUP(DAYS360(DATE(YEAR(A338),1,0),A338), {0,81,171,263,352}, {"Winter","Spring","Summer","Autumn","Winter"})</f>
        <v>Autumn</v>
      </c>
      <c r="I338" s="2">
        <f t="shared" si="35"/>
        <v>2023</v>
      </c>
      <c r="J338" s="2" t="s">
        <v>714</v>
      </c>
      <c r="K338" s="2" t="s">
        <v>733</v>
      </c>
      <c r="L338" s="2">
        <v>17</v>
      </c>
      <c r="M338" s="2">
        <v>7</v>
      </c>
    </row>
    <row r="339" spans="1:13" x14ac:dyDescent="0.35">
      <c r="A339" s="3">
        <v>45264</v>
      </c>
      <c r="B339" s="2" t="s">
        <v>354</v>
      </c>
      <c r="C339" s="2">
        <f t="shared" si="33"/>
        <v>2</v>
      </c>
      <c r="D339" s="2" t="str">
        <f t="shared" si="30"/>
        <v>Workday</v>
      </c>
      <c r="E339" s="2">
        <f t="shared" si="34"/>
        <v>12</v>
      </c>
      <c r="F339" s="2" t="str">
        <f t="shared" si="31"/>
        <v>Fourth</v>
      </c>
      <c r="G339" s="2" t="str">
        <f t="shared" si="32"/>
        <v>Second</v>
      </c>
      <c r="H339" s="2" t="str">
        <f>LOOKUP(DAYS360(DATE(YEAR(A339),1,0),A339), {0,81,171,263,352}, {"Winter","Spring","Summer","Autumn","Winter"})</f>
        <v>Autumn</v>
      </c>
      <c r="I339" s="2">
        <f t="shared" si="35"/>
        <v>2023</v>
      </c>
      <c r="J339" s="2" t="s">
        <v>715</v>
      </c>
      <c r="K339" s="2" t="s">
        <v>733</v>
      </c>
      <c r="L339" s="2">
        <v>15</v>
      </c>
      <c r="M339" s="2">
        <v>12</v>
      </c>
    </row>
    <row r="340" spans="1:13" x14ac:dyDescent="0.35">
      <c r="A340" s="3">
        <v>45265</v>
      </c>
      <c r="B340" s="2" t="s">
        <v>355</v>
      </c>
      <c r="C340" s="2">
        <f t="shared" si="33"/>
        <v>3</v>
      </c>
      <c r="D340" s="2" t="str">
        <f t="shared" si="30"/>
        <v>Workday</v>
      </c>
      <c r="E340" s="2">
        <f t="shared" si="34"/>
        <v>12</v>
      </c>
      <c r="F340" s="2" t="str">
        <f t="shared" si="31"/>
        <v>Fourth</v>
      </c>
      <c r="G340" s="2" t="str">
        <f t="shared" si="32"/>
        <v>Second</v>
      </c>
      <c r="H340" s="2" t="str">
        <f>LOOKUP(DAYS360(DATE(YEAR(A340),1,0),A340), {0,81,171,263,352}, {"Winter","Spring","Summer","Autumn","Winter"})</f>
        <v>Autumn</v>
      </c>
      <c r="I340" s="2">
        <f t="shared" si="35"/>
        <v>2023</v>
      </c>
      <c r="J340" s="2" t="s">
        <v>716</v>
      </c>
      <c r="K340" s="2" t="s">
        <v>733</v>
      </c>
      <c r="L340" s="2">
        <v>11</v>
      </c>
      <c r="M340" s="2">
        <v>5</v>
      </c>
    </row>
    <row r="341" spans="1:13" x14ac:dyDescent="0.35">
      <c r="A341" s="3">
        <v>45266</v>
      </c>
      <c r="B341" s="2" t="s">
        <v>356</v>
      </c>
      <c r="C341" s="2">
        <f t="shared" si="33"/>
        <v>4</v>
      </c>
      <c r="D341" s="2" t="str">
        <f t="shared" si="30"/>
        <v>Workday</v>
      </c>
      <c r="E341" s="2">
        <f t="shared" si="34"/>
        <v>12</v>
      </c>
      <c r="F341" s="2" t="str">
        <f t="shared" si="31"/>
        <v>Fourth</v>
      </c>
      <c r="G341" s="2" t="str">
        <f t="shared" si="32"/>
        <v>Second</v>
      </c>
      <c r="H341" s="2" t="str">
        <f>LOOKUP(DAYS360(DATE(YEAR(A341),1,0),A341), {0,81,171,263,352}, {"Winter","Spring","Summer","Autumn","Winter"})</f>
        <v>Autumn</v>
      </c>
      <c r="I341" s="2">
        <f t="shared" si="35"/>
        <v>2023</v>
      </c>
      <c r="J341" s="2" t="s">
        <v>717</v>
      </c>
      <c r="K341" s="2" t="s">
        <v>733</v>
      </c>
      <c r="L341" s="2">
        <v>11</v>
      </c>
      <c r="M341" s="2">
        <v>18</v>
      </c>
    </row>
    <row r="342" spans="1:13" x14ac:dyDescent="0.35">
      <c r="A342" s="3">
        <v>45267</v>
      </c>
      <c r="B342" s="2" t="s">
        <v>357</v>
      </c>
      <c r="C342" s="2">
        <f t="shared" si="33"/>
        <v>5</v>
      </c>
      <c r="D342" s="2" t="str">
        <f t="shared" si="30"/>
        <v>Workday</v>
      </c>
      <c r="E342" s="2">
        <f t="shared" si="34"/>
        <v>12</v>
      </c>
      <c r="F342" s="2" t="str">
        <f t="shared" si="31"/>
        <v>Fourth</v>
      </c>
      <c r="G342" s="2" t="str">
        <f t="shared" si="32"/>
        <v>Second</v>
      </c>
      <c r="H342" s="2" t="str">
        <f>LOOKUP(DAYS360(DATE(YEAR(A342),1,0),A342), {0,81,171,263,352}, {"Winter","Spring","Summer","Autumn","Winter"})</f>
        <v>Autumn</v>
      </c>
      <c r="I342" s="2">
        <f t="shared" si="35"/>
        <v>2023</v>
      </c>
      <c r="J342" s="2" t="s">
        <v>718</v>
      </c>
      <c r="K342" s="2" t="s">
        <v>733</v>
      </c>
      <c r="L342" s="2">
        <v>16</v>
      </c>
      <c r="M342" s="2">
        <v>13</v>
      </c>
    </row>
    <row r="343" spans="1:13" x14ac:dyDescent="0.35">
      <c r="A343" s="3">
        <v>45268</v>
      </c>
      <c r="B343" s="2" t="s">
        <v>358</v>
      </c>
      <c r="C343" s="2">
        <f t="shared" si="33"/>
        <v>6</v>
      </c>
      <c r="D343" s="2" t="str">
        <f t="shared" si="30"/>
        <v>Weekend</v>
      </c>
      <c r="E343" s="2">
        <f t="shared" si="34"/>
        <v>12</v>
      </c>
      <c r="F343" s="2" t="str">
        <f t="shared" si="31"/>
        <v>Fourth</v>
      </c>
      <c r="G343" s="2" t="str">
        <f t="shared" si="32"/>
        <v>Second</v>
      </c>
      <c r="H343" s="2" t="str">
        <f>LOOKUP(DAYS360(DATE(YEAR(A343),1,0),A343), {0,81,171,263,352}, {"Winter","Spring","Summer","Autumn","Winter"})</f>
        <v>Autumn</v>
      </c>
      <c r="I343" s="2">
        <f t="shared" si="35"/>
        <v>2023</v>
      </c>
      <c r="J343" s="2" t="s">
        <v>419</v>
      </c>
      <c r="K343" s="2" t="s">
        <v>733</v>
      </c>
      <c r="L343" s="2">
        <v>9</v>
      </c>
      <c r="M343" s="2">
        <v>8</v>
      </c>
    </row>
    <row r="344" spans="1:13" x14ac:dyDescent="0.35">
      <c r="A344" s="3">
        <v>45269</v>
      </c>
      <c r="B344" s="2" t="s">
        <v>359</v>
      </c>
      <c r="C344" s="2">
        <f t="shared" si="33"/>
        <v>7</v>
      </c>
      <c r="D344" s="2" t="str">
        <f t="shared" si="30"/>
        <v>Weekend</v>
      </c>
      <c r="E344" s="2">
        <f t="shared" si="34"/>
        <v>12</v>
      </c>
      <c r="F344" s="2" t="str">
        <f t="shared" si="31"/>
        <v>Fourth</v>
      </c>
      <c r="G344" s="2" t="str">
        <f t="shared" si="32"/>
        <v>Second</v>
      </c>
      <c r="H344" s="2" t="str">
        <f>LOOKUP(DAYS360(DATE(YEAR(A344),1,0),A344), {0,81,171,263,352}, {"Winter","Spring","Summer","Autumn","Winter"})</f>
        <v>Autumn</v>
      </c>
      <c r="I344" s="2">
        <f t="shared" si="35"/>
        <v>2023</v>
      </c>
      <c r="J344" s="2" t="s">
        <v>425</v>
      </c>
      <c r="K344" s="2" t="s">
        <v>733</v>
      </c>
      <c r="L344" s="2">
        <v>7</v>
      </c>
      <c r="M344" s="2">
        <v>13</v>
      </c>
    </row>
    <row r="345" spans="1:13" x14ac:dyDescent="0.35">
      <c r="A345" s="3">
        <v>45270</v>
      </c>
      <c r="B345" s="2" t="s">
        <v>360</v>
      </c>
      <c r="C345" s="2">
        <f t="shared" si="33"/>
        <v>1</v>
      </c>
      <c r="D345" s="2" t="str">
        <f t="shared" si="30"/>
        <v>Workday</v>
      </c>
      <c r="E345" s="2">
        <f t="shared" si="34"/>
        <v>12</v>
      </c>
      <c r="F345" s="2" t="str">
        <f t="shared" si="31"/>
        <v>Fourth</v>
      </c>
      <c r="G345" s="2" t="str">
        <f t="shared" si="32"/>
        <v>Second</v>
      </c>
      <c r="H345" s="2" t="str">
        <f>LOOKUP(DAYS360(DATE(YEAR(A345),1,0),A345), {0,81,171,263,352}, {"Winter","Spring","Summer","Autumn","Winter"})</f>
        <v>Autumn</v>
      </c>
      <c r="I345" s="2">
        <f t="shared" si="35"/>
        <v>2023</v>
      </c>
      <c r="J345" s="2" t="s">
        <v>304</v>
      </c>
      <c r="K345" s="2" t="s">
        <v>733</v>
      </c>
      <c r="L345" s="2">
        <v>3</v>
      </c>
      <c r="M345" s="2">
        <v>11</v>
      </c>
    </row>
    <row r="346" spans="1:13" x14ac:dyDescent="0.35">
      <c r="A346" s="3">
        <v>45271</v>
      </c>
      <c r="B346" s="2" t="s">
        <v>361</v>
      </c>
      <c r="C346" s="2">
        <f t="shared" si="33"/>
        <v>2</v>
      </c>
      <c r="D346" s="2" t="str">
        <f t="shared" si="30"/>
        <v>Workday</v>
      </c>
      <c r="E346" s="2">
        <f t="shared" si="34"/>
        <v>12</v>
      </c>
      <c r="F346" s="2" t="str">
        <f t="shared" si="31"/>
        <v>Fourth</v>
      </c>
      <c r="G346" s="2" t="str">
        <f t="shared" si="32"/>
        <v>Second</v>
      </c>
      <c r="H346" s="2" t="str">
        <f>LOOKUP(DAYS360(DATE(YEAR(A346),1,0),A346), {0,81,171,263,352}, {"Winter","Spring","Summer","Autumn","Winter"})</f>
        <v>Autumn</v>
      </c>
      <c r="I346" s="2">
        <f t="shared" si="35"/>
        <v>2023</v>
      </c>
      <c r="J346" s="2" t="s">
        <v>719</v>
      </c>
      <c r="K346" s="2" t="s">
        <v>733</v>
      </c>
      <c r="L346" s="2">
        <v>18</v>
      </c>
      <c r="M346" s="2">
        <v>2</v>
      </c>
    </row>
    <row r="347" spans="1:13" x14ac:dyDescent="0.35">
      <c r="A347" s="3">
        <v>45272</v>
      </c>
      <c r="B347" s="2" t="s">
        <v>362</v>
      </c>
      <c r="C347" s="2">
        <f t="shared" si="33"/>
        <v>3</v>
      </c>
      <c r="D347" s="2" t="str">
        <f t="shared" si="30"/>
        <v>Workday</v>
      </c>
      <c r="E347" s="2">
        <f t="shared" si="34"/>
        <v>12</v>
      </c>
      <c r="F347" s="2" t="str">
        <f t="shared" si="31"/>
        <v>Fourth</v>
      </c>
      <c r="G347" s="2" t="str">
        <f t="shared" si="32"/>
        <v>Second</v>
      </c>
      <c r="H347" s="2" t="str">
        <f>LOOKUP(DAYS360(DATE(YEAR(A347),1,0),A347), {0,81,171,263,352}, {"Winter","Spring","Summer","Autumn","Winter"})</f>
        <v>Autumn</v>
      </c>
      <c r="I347" s="2">
        <f t="shared" si="35"/>
        <v>2023</v>
      </c>
      <c r="J347" s="2" t="s">
        <v>398</v>
      </c>
      <c r="K347" s="2" t="s">
        <v>733</v>
      </c>
      <c r="L347" s="2">
        <v>2</v>
      </c>
      <c r="M347" s="2">
        <v>13</v>
      </c>
    </row>
    <row r="348" spans="1:13" x14ac:dyDescent="0.35">
      <c r="A348" s="3">
        <v>45273</v>
      </c>
      <c r="B348" s="2" t="s">
        <v>363</v>
      </c>
      <c r="C348" s="2">
        <f t="shared" si="33"/>
        <v>4</v>
      </c>
      <c r="D348" s="2" t="str">
        <f t="shared" si="30"/>
        <v>Workday</v>
      </c>
      <c r="E348" s="2">
        <f t="shared" si="34"/>
        <v>12</v>
      </c>
      <c r="F348" s="2" t="str">
        <f t="shared" si="31"/>
        <v>Fourth</v>
      </c>
      <c r="G348" s="2" t="str">
        <f t="shared" si="32"/>
        <v>Second</v>
      </c>
      <c r="H348" s="2" t="str">
        <f>LOOKUP(DAYS360(DATE(YEAR(A348),1,0),A348), {0,81,171,263,352}, {"Winter","Spring","Summer","Autumn","Winter"})</f>
        <v>Autumn</v>
      </c>
      <c r="I348" s="2">
        <f t="shared" si="35"/>
        <v>2023</v>
      </c>
      <c r="J348" s="2" t="s">
        <v>12</v>
      </c>
      <c r="K348" s="2" t="s">
        <v>733</v>
      </c>
      <c r="L348" s="2">
        <v>4</v>
      </c>
      <c r="M348" s="2">
        <v>6</v>
      </c>
    </row>
    <row r="349" spans="1:13" x14ac:dyDescent="0.35">
      <c r="A349" s="3">
        <v>45274</v>
      </c>
      <c r="B349" s="2" t="s">
        <v>364</v>
      </c>
      <c r="C349" s="2">
        <f t="shared" si="33"/>
        <v>5</v>
      </c>
      <c r="D349" s="2" t="str">
        <f t="shared" si="30"/>
        <v>Workday</v>
      </c>
      <c r="E349" s="2">
        <f t="shared" si="34"/>
        <v>12</v>
      </c>
      <c r="F349" s="2" t="str">
        <f t="shared" si="31"/>
        <v>Fourth</v>
      </c>
      <c r="G349" s="2" t="str">
        <f t="shared" si="32"/>
        <v>Second</v>
      </c>
      <c r="H349" s="2" t="str">
        <f>LOOKUP(DAYS360(DATE(YEAR(A349),1,0),A349), {0,81,171,263,352}, {"Winter","Spring","Summer","Autumn","Winter"})</f>
        <v>Autumn</v>
      </c>
      <c r="I349" s="2">
        <f t="shared" si="35"/>
        <v>2023</v>
      </c>
      <c r="J349" s="2" t="s">
        <v>720</v>
      </c>
      <c r="K349" s="2" t="s">
        <v>733</v>
      </c>
      <c r="L349" s="2">
        <v>16</v>
      </c>
      <c r="M349" s="2">
        <v>19</v>
      </c>
    </row>
    <row r="350" spans="1:13" x14ac:dyDescent="0.35">
      <c r="A350" s="3">
        <v>45275</v>
      </c>
      <c r="B350" s="2" t="s">
        <v>365</v>
      </c>
      <c r="C350" s="2">
        <f t="shared" si="33"/>
        <v>6</v>
      </c>
      <c r="D350" s="2" t="str">
        <f t="shared" si="30"/>
        <v>Weekend</v>
      </c>
      <c r="E350" s="2">
        <f t="shared" si="34"/>
        <v>12</v>
      </c>
      <c r="F350" s="2" t="str">
        <f t="shared" si="31"/>
        <v>Fourth</v>
      </c>
      <c r="G350" s="2" t="str">
        <f t="shared" si="32"/>
        <v>Second</v>
      </c>
      <c r="H350" s="2" t="str">
        <f>LOOKUP(DAYS360(DATE(YEAR(A350),1,0),A350), {0,81,171,263,352}, {"Winter","Spring","Summer","Autumn","Winter"})</f>
        <v>Autumn</v>
      </c>
      <c r="I350" s="2">
        <f t="shared" si="35"/>
        <v>2023</v>
      </c>
      <c r="J350" s="2" t="s">
        <v>721</v>
      </c>
      <c r="K350" s="2" t="s">
        <v>733</v>
      </c>
      <c r="L350" s="2">
        <v>15</v>
      </c>
      <c r="M350" s="2">
        <v>11</v>
      </c>
    </row>
    <row r="351" spans="1:13" x14ac:dyDescent="0.35">
      <c r="A351" s="3">
        <v>45276</v>
      </c>
      <c r="B351" s="2" t="s">
        <v>366</v>
      </c>
      <c r="C351" s="2">
        <f t="shared" si="33"/>
        <v>7</v>
      </c>
      <c r="D351" s="2" t="str">
        <f t="shared" si="30"/>
        <v>Weekend</v>
      </c>
      <c r="E351" s="2">
        <f t="shared" si="34"/>
        <v>12</v>
      </c>
      <c r="F351" s="2" t="str">
        <f t="shared" si="31"/>
        <v>Fourth</v>
      </c>
      <c r="G351" s="2" t="str">
        <f t="shared" si="32"/>
        <v>Second</v>
      </c>
      <c r="H351" s="2" t="str">
        <f>LOOKUP(DAYS360(DATE(YEAR(A351),1,0),A351), {0,81,171,263,352}, {"Winter","Spring","Summer","Autumn","Winter"})</f>
        <v>Autumn</v>
      </c>
      <c r="I351" s="2">
        <f t="shared" si="35"/>
        <v>2023</v>
      </c>
      <c r="J351" s="2" t="s">
        <v>722</v>
      </c>
      <c r="K351" s="2" t="s">
        <v>733</v>
      </c>
      <c r="L351" s="2">
        <v>10</v>
      </c>
      <c r="M351" s="2">
        <v>7</v>
      </c>
    </row>
    <row r="352" spans="1:13" x14ac:dyDescent="0.35">
      <c r="A352" s="3">
        <v>45277</v>
      </c>
      <c r="B352" s="2" t="s">
        <v>367</v>
      </c>
      <c r="C352" s="2">
        <f t="shared" si="33"/>
        <v>1</v>
      </c>
      <c r="D352" s="2" t="str">
        <f t="shared" si="30"/>
        <v>Workday</v>
      </c>
      <c r="E352" s="2">
        <f t="shared" si="34"/>
        <v>12</v>
      </c>
      <c r="F352" s="2" t="str">
        <f t="shared" si="31"/>
        <v>Fourth</v>
      </c>
      <c r="G352" s="2" t="str">
        <f t="shared" si="32"/>
        <v>Second</v>
      </c>
      <c r="H352" s="2" t="str">
        <f>LOOKUP(DAYS360(DATE(YEAR(A352),1,0),A352), {0,81,171,263,352}, {"Winter","Spring","Summer","Autumn","Winter"})</f>
        <v>Autumn</v>
      </c>
      <c r="I352" s="2">
        <f t="shared" si="35"/>
        <v>2023</v>
      </c>
      <c r="J352" s="2" t="s">
        <v>391</v>
      </c>
      <c r="K352" s="2" t="s">
        <v>733</v>
      </c>
      <c r="L352" s="2">
        <v>11</v>
      </c>
      <c r="M352" s="2">
        <v>13</v>
      </c>
    </row>
    <row r="353" spans="1:13" x14ac:dyDescent="0.35">
      <c r="A353" s="3">
        <v>45278</v>
      </c>
      <c r="B353" s="2" t="s">
        <v>368</v>
      </c>
      <c r="C353" s="2">
        <f t="shared" si="33"/>
        <v>2</v>
      </c>
      <c r="D353" s="2" t="str">
        <f t="shared" ref="D353:D366" si="36">IF(C353&lt;6,"Workday","Weekend")</f>
        <v>Workday</v>
      </c>
      <c r="E353" s="2">
        <f t="shared" si="34"/>
        <v>12</v>
      </c>
      <c r="F353" s="2" t="str">
        <f t="shared" ref="F353:F366" si="37">IF(E353&lt;4,"First",IF(AND(E353&gt;3,E353&lt;7),"Second",IF(AND(E353&gt;6,E353&lt;10),"Third",IF(E353&gt;9,"Fourth",0))))</f>
        <v>Fourth</v>
      </c>
      <c r="G353" s="2" t="str">
        <f t="shared" ref="G353:G366" si="38">IF(E353&lt;7,"First","Second")</f>
        <v>Second</v>
      </c>
      <c r="H353" s="2" t="str">
        <f>LOOKUP(DAYS360(DATE(YEAR(A353),1,0),A353), {0,81,171,263,352}, {"Winter","Spring","Summer","Autumn","Winter"})</f>
        <v>Autumn</v>
      </c>
      <c r="I353" s="2">
        <f t="shared" ref="I353:I366" si="39">YEAR(A353)</f>
        <v>2023</v>
      </c>
      <c r="J353" s="2" t="s">
        <v>723</v>
      </c>
      <c r="K353" s="2" t="s">
        <v>733</v>
      </c>
      <c r="L353" s="2">
        <v>2</v>
      </c>
      <c r="M353" s="2">
        <v>12</v>
      </c>
    </row>
    <row r="354" spans="1:13" x14ac:dyDescent="0.35">
      <c r="A354" s="3">
        <v>45279</v>
      </c>
      <c r="B354" s="2" t="s">
        <v>369</v>
      </c>
      <c r="C354" s="2">
        <f t="shared" si="33"/>
        <v>3</v>
      </c>
      <c r="D354" s="2" t="str">
        <f t="shared" si="36"/>
        <v>Workday</v>
      </c>
      <c r="E354" s="2">
        <f t="shared" si="34"/>
        <v>12</v>
      </c>
      <c r="F354" s="2" t="str">
        <f t="shared" si="37"/>
        <v>Fourth</v>
      </c>
      <c r="G354" s="2" t="str">
        <f t="shared" si="38"/>
        <v>Second</v>
      </c>
      <c r="H354" s="2" t="str">
        <f>LOOKUP(DAYS360(DATE(YEAR(A354),1,0),A354), {0,81,171,263,352}, {"Winter","Spring","Summer","Autumn","Winter"})</f>
        <v>Autumn</v>
      </c>
      <c r="I354" s="2">
        <f t="shared" si="39"/>
        <v>2023</v>
      </c>
      <c r="J354" s="2" t="s">
        <v>724</v>
      </c>
      <c r="K354" s="2" t="s">
        <v>733</v>
      </c>
      <c r="L354" s="2">
        <v>14</v>
      </c>
      <c r="M354" s="2">
        <v>11</v>
      </c>
    </row>
    <row r="355" spans="1:13" x14ac:dyDescent="0.35">
      <c r="A355" s="3">
        <v>45280</v>
      </c>
      <c r="B355" s="2" t="s">
        <v>370</v>
      </c>
      <c r="C355" s="2">
        <f t="shared" si="33"/>
        <v>4</v>
      </c>
      <c r="D355" s="2" t="str">
        <f t="shared" si="36"/>
        <v>Workday</v>
      </c>
      <c r="E355" s="2">
        <f t="shared" si="34"/>
        <v>12</v>
      </c>
      <c r="F355" s="2" t="str">
        <f t="shared" si="37"/>
        <v>Fourth</v>
      </c>
      <c r="G355" s="2" t="str">
        <f t="shared" si="38"/>
        <v>Second</v>
      </c>
      <c r="H355" s="2" t="str">
        <f>LOOKUP(DAYS360(DATE(YEAR(A355),1,0),A355), {0,81,171,263,352}, {"Winter","Spring","Summer","Autumn","Winter"})</f>
        <v>Autumn</v>
      </c>
      <c r="I355" s="2">
        <f t="shared" si="39"/>
        <v>2023</v>
      </c>
      <c r="J355" s="2" t="s">
        <v>725</v>
      </c>
      <c r="K355" s="2" t="s">
        <v>733</v>
      </c>
      <c r="L355" s="2">
        <v>11</v>
      </c>
      <c r="M355" s="2">
        <v>17</v>
      </c>
    </row>
    <row r="356" spans="1:13" x14ac:dyDescent="0.35">
      <c r="A356" s="3">
        <v>45281</v>
      </c>
      <c r="B356" s="2" t="s">
        <v>371</v>
      </c>
      <c r="C356" s="2">
        <f t="shared" si="33"/>
        <v>5</v>
      </c>
      <c r="D356" s="2" t="str">
        <f t="shared" si="36"/>
        <v>Workday</v>
      </c>
      <c r="E356" s="2">
        <f t="shared" si="34"/>
        <v>12</v>
      </c>
      <c r="F356" s="2" t="str">
        <f t="shared" si="37"/>
        <v>Fourth</v>
      </c>
      <c r="G356" s="2" t="str">
        <f t="shared" si="38"/>
        <v>Second</v>
      </c>
      <c r="H356" s="2" t="str">
        <f>LOOKUP(DAYS360(DATE(YEAR(A356),1,0),A356), {0,81,171,263,352}, {"Winter","Spring","Summer","Autumn","Winter"})</f>
        <v>Autumn</v>
      </c>
      <c r="I356" s="2">
        <f t="shared" si="39"/>
        <v>2023</v>
      </c>
      <c r="J356" s="2" t="s">
        <v>396</v>
      </c>
      <c r="K356" s="2" t="s">
        <v>733</v>
      </c>
      <c r="L356" s="2">
        <v>10</v>
      </c>
      <c r="M356" s="2">
        <v>15</v>
      </c>
    </row>
    <row r="357" spans="1:13" x14ac:dyDescent="0.35">
      <c r="A357" s="3">
        <v>45282</v>
      </c>
      <c r="B357" s="2" t="s">
        <v>372</v>
      </c>
      <c r="C357" s="2">
        <f t="shared" si="33"/>
        <v>6</v>
      </c>
      <c r="D357" s="2" t="str">
        <f t="shared" si="36"/>
        <v>Weekend</v>
      </c>
      <c r="E357" s="2">
        <f t="shared" si="34"/>
        <v>12</v>
      </c>
      <c r="F357" s="2" t="str">
        <f t="shared" si="37"/>
        <v>Fourth</v>
      </c>
      <c r="G357" s="2" t="str">
        <f t="shared" si="38"/>
        <v>Second</v>
      </c>
      <c r="H357" s="2" t="str">
        <f>LOOKUP(DAYS360(DATE(YEAR(A357),1,0),A357), {0,81,171,263,352}, {"Winter","Spring","Summer","Autumn","Winter"})</f>
        <v>Winter</v>
      </c>
      <c r="I357" s="2">
        <f t="shared" si="39"/>
        <v>2023</v>
      </c>
      <c r="J357" s="2" t="s">
        <v>726</v>
      </c>
      <c r="K357" s="2" t="s">
        <v>733</v>
      </c>
      <c r="L357" s="2">
        <v>19</v>
      </c>
      <c r="M357" s="2">
        <v>14</v>
      </c>
    </row>
    <row r="358" spans="1:13" x14ac:dyDescent="0.35">
      <c r="A358" s="3">
        <v>45283</v>
      </c>
      <c r="B358" s="2" t="s">
        <v>373</v>
      </c>
      <c r="C358" s="2">
        <f t="shared" si="33"/>
        <v>7</v>
      </c>
      <c r="D358" s="2" t="str">
        <f t="shared" si="36"/>
        <v>Weekend</v>
      </c>
      <c r="E358" s="2">
        <f t="shared" si="34"/>
        <v>12</v>
      </c>
      <c r="F358" s="2" t="str">
        <f t="shared" si="37"/>
        <v>Fourth</v>
      </c>
      <c r="G358" s="2" t="str">
        <f t="shared" si="38"/>
        <v>Second</v>
      </c>
      <c r="H358" s="2" t="str">
        <f>LOOKUP(DAYS360(DATE(YEAR(A358),1,0),A358), {0,81,171,263,352}, {"Winter","Spring","Summer","Autumn","Winter"})</f>
        <v>Winter</v>
      </c>
      <c r="I358" s="2">
        <f t="shared" si="39"/>
        <v>2023</v>
      </c>
      <c r="J358" s="2" t="s">
        <v>727</v>
      </c>
      <c r="K358" s="2" t="s">
        <v>733</v>
      </c>
      <c r="L358" s="2">
        <v>15</v>
      </c>
      <c r="M358" s="2">
        <v>9</v>
      </c>
    </row>
    <row r="359" spans="1:13" x14ac:dyDescent="0.35">
      <c r="A359" s="3">
        <v>45284</v>
      </c>
      <c r="B359" s="2" t="s">
        <v>374</v>
      </c>
      <c r="C359" s="2">
        <f t="shared" si="33"/>
        <v>1</v>
      </c>
      <c r="D359" s="2" t="str">
        <f t="shared" si="36"/>
        <v>Workday</v>
      </c>
      <c r="E359" s="2">
        <f t="shared" si="34"/>
        <v>12</v>
      </c>
      <c r="F359" s="2" t="str">
        <f t="shared" si="37"/>
        <v>Fourth</v>
      </c>
      <c r="G359" s="2" t="str">
        <f t="shared" si="38"/>
        <v>Second</v>
      </c>
      <c r="H359" s="2" t="str">
        <f>LOOKUP(DAYS360(DATE(YEAR(A359),1,0),A359), {0,81,171,263,352}, {"Winter","Spring","Summer","Autumn","Winter"})</f>
        <v>Winter</v>
      </c>
      <c r="I359" s="2">
        <f t="shared" si="39"/>
        <v>2023</v>
      </c>
      <c r="J359" s="2" t="s">
        <v>728</v>
      </c>
      <c r="K359" s="2" t="s">
        <v>733</v>
      </c>
      <c r="L359" s="2">
        <v>20</v>
      </c>
      <c r="M359" s="2">
        <v>16</v>
      </c>
    </row>
    <row r="360" spans="1:13" x14ac:dyDescent="0.35">
      <c r="A360" s="3">
        <v>45285</v>
      </c>
      <c r="B360" s="2" t="s">
        <v>375</v>
      </c>
      <c r="C360" s="2">
        <f t="shared" si="33"/>
        <v>2</v>
      </c>
      <c r="D360" s="2" t="str">
        <f t="shared" si="36"/>
        <v>Workday</v>
      </c>
      <c r="E360" s="2">
        <f t="shared" si="34"/>
        <v>12</v>
      </c>
      <c r="F360" s="2" t="str">
        <f t="shared" si="37"/>
        <v>Fourth</v>
      </c>
      <c r="G360" s="2" t="str">
        <f t="shared" si="38"/>
        <v>Second</v>
      </c>
      <c r="H360" s="2" t="str">
        <f>LOOKUP(DAYS360(DATE(YEAR(A360),1,0),A360), {0,81,171,263,352}, {"Winter","Spring","Summer","Autumn","Winter"})</f>
        <v>Winter</v>
      </c>
      <c r="I360" s="2">
        <f t="shared" si="39"/>
        <v>2023</v>
      </c>
      <c r="J360" s="2" t="s">
        <v>729</v>
      </c>
      <c r="K360" s="2" t="s">
        <v>733</v>
      </c>
      <c r="L360" s="2">
        <v>6</v>
      </c>
      <c r="M360" s="2">
        <v>16</v>
      </c>
    </row>
    <row r="361" spans="1:13" x14ac:dyDescent="0.35">
      <c r="A361" s="3">
        <v>45286</v>
      </c>
      <c r="B361" s="2" t="s">
        <v>376</v>
      </c>
      <c r="C361" s="2">
        <f t="shared" si="33"/>
        <v>3</v>
      </c>
      <c r="D361" s="2" t="str">
        <f t="shared" si="36"/>
        <v>Workday</v>
      </c>
      <c r="E361" s="2">
        <f t="shared" si="34"/>
        <v>12</v>
      </c>
      <c r="F361" s="2" t="str">
        <f t="shared" si="37"/>
        <v>Fourth</v>
      </c>
      <c r="G361" s="2" t="str">
        <f t="shared" si="38"/>
        <v>Second</v>
      </c>
      <c r="H361" s="2" t="str">
        <f>LOOKUP(DAYS360(DATE(YEAR(A361),1,0),A361), {0,81,171,263,352}, {"Winter","Spring","Summer","Autumn","Winter"})</f>
        <v>Winter</v>
      </c>
      <c r="I361" s="2">
        <f t="shared" si="39"/>
        <v>2023</v>
      </c>
      <c r="J361" s="2" t="s">
        <v>401</v>
      </c>
      <c r="K361" s="2" t="s">
        <v>733</v>
      </c>
      <c r="L361" s="2">
        <v>3</v>
      </c>
      <c r="M361" s="2">
        <v>13</v>
      </c>
    </row>
    <row r="362" spans="1:13" x14ac:dyDescent="0.35">
      <c r="A362" s="3">
        <v>45287</v>
      </c>
      <c r="B362" s="2" t="s">
        <v>377</v>
      </c>
      <c r="C362" s="2">
        <f t="shared" si="33"/>
        <v>4</v>
      </c>
      <c r="D362" s="2" t="str">
        <f t="shared" si="36"/>
        <v>Workday</v>
      </c>
      <c r="E362" s="2">
        <f t="shared" si="34"/>
        <v>12</v>
      </c>
      <c r="F362" s="2" t="str">
        <f t="shared" si="37"/>
        <v>Fourth</v>
      </c>
      <c r="G362" s="2" t="str">
        <f t="shared" si="38"/>
        <v>Second</v>
      </c>
      <c r="H362" s="2" t="str">
        <f>LOOKUP(DAYS360(DATE(YEAR(A362),1,0),A362), {0,81,171,263,352}, {"Winter","Spring","Summer","Autumn","Winter"})</f>
        <v>Winter</v>
      </c>
      <c r="I362" s="2">
        <f t="shared" si="39"/>
        <v>2023</v>
      </c>
      <c r="J362" s="2" t="s">
        <v>390</v>
      </c>
      <c r="K362" s="2" t="s">
        <v>733</v>
      </c>
      <c r="L362" s="2">
        <v>5</v>
      </c>
      <c r="M362" s="2">
        <v>5</v>
      </c>
    </row>
    <row r="363" spans="1:13" x14ac:dyDescent="0.35">
      <c r="A363" s="3">
        <v>45288</v>
      </c>
      <c r="B363" s="2" t="s">
        <v>378</v>
      </c>
      <c r="C363" s="2">
        <f t="shared" si="33"/>
        <v>5</v>
      </c>
      <c r="D363" s="2" t="str">
        <f t="shared" si="36"/>
        <v>Workday</v>
      </c>
      <c r="E363" s="2">
        <f t="shared" si="34"/>
        <v>12</v>
      </c>
      <c r="F363" s="2" t="str">
        <f t="shared" si="37"/>
        <v>Fourth</v>
      </c>
      <c r="G363" s="2" t="str">
        <f t="shared" si="38"/>
        <v>Second</v>
      </c>
      <c r="H363" s="2" t="str">
        <f>LOOKUP(DAYS360(DATE(YEAR(A363),1,0),A363), {0,81,171,263,352}, {"Winter","Spring","Summer","Autumn","Winter"})</f>
        <v>Winter</v>
      </c>
      <c r="I363" s="2">
        <f t="shared" si="39"/>
        <v>2023</v>
      </c>
      <c r="J363" s="2" t="s">
        <v>730</v>
      </c>
      <c r="K363" s="2" t="s">
        <v>733</v>
      </c>
      <c r="L363" s="2">
        <v>3</v>
      </c>
      <c r="M363" s="2">
        <v>19</v>
      </c>
    </row>
    <row r="364" spans="1:13" x14ac:dyDescent="0.35">
      <c r="A364" s="3">
        <v>45289</v>
      </c>
      <c r="B364" s="2" t="s">
        <v>379</v>
      </c>
      <c r="C364" s="2">
        <f t="shared" si="33"/>
        <v>6</v>
      </c>
      <c r="D364" s="2" t="str">
        <f t="shared" si="36"/>
        <v>Weekend</v>
      </c>
      <c r="E364" s="2">
        <f t="shared" si="34"/>
        <v>12</v>
      </c>
      <c r="F364" s="2" t="str">
        <f t="shared" si="37"/>
        <v>Fourth</v>
      </c>
      <c r="G364" s="2" t="str">
        <f t="shared" si="38"/>
        <v>Second</v>
      </c>
      <c r="H364" s="2" t="str">
        <f>LOOKUP(DAYS360(DATE(YEAR(A364),1,0),A364), {0,81,171,263,352}, {"Winter","Spring","Summer","Autumn","Winter"})</f>
        <v>Winter</v>
      </c>
      <c r="I364" s="2">
        <f t="shared" si="39"/>
        <v>2023</v>
      </c>
      <c r="J364" s="2" t="s">
        <v>731</v>
      </c>
      <c r="K364" s="2" t="s">
        <v>733</v>
      </c>
      <c r="L364" s="2">
        <v>20</v>
      </c>
      <c r="M364" s="2">
        <v>4</v>
      </c>
    </row>
    <row r="365" spans="1:13" x14ac:dyDescent="0.35">
      <c r="A365" s="3">
        <v>45290</v>
      </c>
      <c r="B365" s="2" t="s">
        <v>380</v>
      </c>
      <c r="C365" s="2">
        <f t="shared" si="33"/>
        <v>7</v>
      </c>
      <c r="D365" s="2" t="str">
        <f t="shared" si="36"/>
        <v>Weekend</v>
      </c>
      <c r="E365" s="2">
        <f t="shared" si="34"/>
        <v>12</v>
      </c>
      <c r="F365" s="2" t="str">
        <f t="shared" si="37"/>
        <v>Fourth</v>
      </c>
      <c r="G365" s="2" t="str">
        <f t="shared" si="38"/>
        <v>Second</v>
      </c>
      <c r="H365" s="2" t="str">
        <f>LOOKUP(DAYS360(DATE(YEAR(A365),1,0),A365), {0,81,171,263,352}, {"Winter","Spring","Summer","Autumn","Winter"})</f>
        <v>Winter</v>
      </c>
      <c r="I365" s="2">
        <f t="shared" si="39"/>
        <v>2023</v>
      </c>
      <c r="J365" s="2" t="s">
        <v>409</v>
      </c>
      <c r="K365" s="2" t="s">
        <v>733</v>
      </c>
      <c r="L365" s="2">
        <v>18</v>
      </c>
      <c r="M365" s="2">
        <v>20</v>
      </c>
    </row>
    <row r="366" spans="1:13" x14ac:dyDescent="0.35">
      <c r="A366" s="3">
        <v>45291</v>
      </c>
      <c r="B366" s="2" t="s">
        <v>381</v>
      </c>
      <c r="C366" s="2">
        <f t="shared" si="33"/>
        <v>1</v>
      </c>
      <c r="D366" s="2" t="str">
        <f t="shared" si="36"/>
        <v>Workday</v>
      </c>
      <c r="E366" s="2">
        <f t="shared" si="34"/>
        <v>12</v>
      </c>
      <c r="F366" s="2" t="str">
        <f t="shared" si="37"/>
        <v>Fourth</v>
      </c>
      <c r="G366" s="2" t="str">
        <f t="shared" si="38"/>
        <v>Second</v>
      </c>
      <c r="H366" s="2" t="str">
        <f>LOOKUP(DAYS360(DATE(YEAR(A366),1,0),A366), {0,81,171,263,352}, {"Winter","Spring","Summer","Autumn","Winter"})</f>
        <v>Winter</v>
      </c>
      <c r="I366" s="2">
        <f t="shared" si="39"/>
        <v>2023</v>
      </c>
      <c r="J366" s="2" t="s">
        <v>732</v>
      </c>
      <c r="K366" s="2" t="s">
        <v>733</v>
      </c>
      <c r="L366" s="2">
        <v>1</v>
      </c>
      <c r="M366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2024-01-24T20:06:27Z</dcterms:created>
  <dcterms:modified xsi:type="dcterms:W3CDTF">2024-01-30T21:30:13Z</dcterms:modified>
</cp:coreProperties>
</file>